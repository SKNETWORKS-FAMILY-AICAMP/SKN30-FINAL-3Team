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갠트 차트 템플릿" sheetId="1" r:id="rId4"/>
    <sheet state="visible" name="요구사항 추적표" sheetId="2" r:id="rId5"/>
  </sheets>
  <definedNames/>
  <calcPr/>
  <extLst>
    <ext uri="GoogleSheetsCustomDataVersion2">
      <go:sheetsCustomData xmlns:go="http://customooxmlschemas.google.com/" r:id="rId6" roundtripDataChecksum="VaGVmrOhv2GERGXZA4pCPxScfeuL+YW2JVjb3DDlgf8="/>
    </ext>
  </extLst>
</workbook>
</file>

<file path=xl/sharedStrings.xml><?xml version="1.0" encoding="utf-8"?>
<sst xmlns="http://schemas.openxmlformats.org/spreadsheetml/2006/main" count="684" uniqueCount="379">
  <si>
    <t>WBS</t>
  </si>
  <si>
    <t>작성 기준</t>
  </si>
  <si>
    <r>
      <rPr>
        <rFont val="Noto Sans CJK SC"/>
        <b/>
        <color rgb="FF0B5394"/>
        <sz val="16.0"/>
      </rPr>
      <t xml:space="preserve">요구사항 추적표 </t>
    </r>
    <r>
      <rPr>
        <rFont val="Noto Sans"/>
        <b/>
        <color rgb="FF0B5394"/>
        <sz val="16.0"/>
      </rPr>
      <t>(Requirements Traceability Matrix)</t>
    </r>
  </si>
  <si>
    <r>
      <rPr>
        <rFont val="Noto Sans CJK SC"/>
        <color rgb="FF444444"/>
        <sz val="9.0"/>
      </rPr>
      <t>출처</t>
    </r>
    <r>
      <rPr>
        <rFont val="Noto Sans"/>
        <color rgb="FF444444"/>
        <sz val="9.0"/>
      </rPr>
      <t>: 3</t>
    </r>
    <r>
      <rPr>
        <rFont val="Noto Sans CJK SC"/>
        <color rgb="FF444444"/>
        <sz val="9.0"/>
      </rPr>
      <t>팀 요구사항정의서</t>
    </r>
    <r>
      <rPr>
        <rFont val="Noto Sans"/>
        <color rgb="FF444444"/>
        <sz val="9.0"/>
      </rPr>
      <t>_</t>
    </r>
    <r>
      <rPr>
        <rFont val="Noto Sans CJK SC"/>
        <color rgb="FF444444"/>
        <sz val="9.0"/>
      </rPr>
      <t xml:space="preserve">수정본 </t>
    </r>
    <r>
      <rPr>
        <rFont val="Noto Sans"/>
        <color rgb="FF444444"/>
        <sz val="9.0"/>
      </rPr>
      <t>· WBS v0.2</t>
    </r>
  </si>
  <si>
    <r>
      <rPr>
        <rFont val="Roboto"/>
        <color rgb="FF444444"/>
        <sz val="9.0"/>
      </rPr>
      <t xml:space="preserve">v0.2 · </t>
    </r>
    <r>
      <rPr>
        <rFont val="Noto Sans CJK SC"/>
        <color rgb="FF444444"/>
        <sz val="9.0"/>
      </rPr>
      <t>요구사항 정의서</t>
    </r>
    <r>
      <rPr>
        <rFont val="Roboto"/>
        <color rgb="FF444444"/>
        <sz val="9.0"/>
      </rPr>
      <t xml:space="preserve">(MVP </t>
    </r>
    <r>
      <rPr>
        <rFont val="Noto Sans CJK SC"/>
        <color rgb="FF444444"/>
        <sz val="9.0"/>
      </rPr>
      <t>정본</t>
    </r>
    <r>
      <rPr>
        <rFont val="Roboto"/>
        <color rgb="FF444444"/>
        <sz val="9.0"/>
      </rPr>
      <t xml:space="preserve">) </t>
    </r>
    <r>
      <rPr>
        <rFont val="Noto Sans CJK SC"/>
        <color rgb="FF444444"/>
        <sz val="9.0"/>
      </rPr>
      <t xml:space="preserve">기준 전면 재작성 </t>
    </r>
    <r>
      <rPr>
        <rFont val="Roboto"/>
        <color rgb="FF444444"/>
        <sz val="9.0"/>
      </rPr>
      <t xml:space="preserve">· </t>
    </r>
    <r>
      <rPr>
        <rFont val="Noto Sans CJK SC"/>
        <color rgb="FF444444"/>
        <sz val="9.0"/>
      </rPr>
      <t xml:space="preserve">전 작업을 </t>
    </r>
    <r>
      <rPr>
        <rFont val="Roboto"/>
        <color rgb="FF444444"/>
        <sz val="9.0"/>
      </rPr>
      <t xml:space="preserve">MVP-F1/F2/F3 </t>
    </r>
    <r>
      <rPr>
        <rFont val="Noto Sans CJK SC"/>
        <color rgb="FF444444"/>
        <sz val="9.0"/>
      </rPr>
      <t xml:space="preserve">요구사항 </t>
    </r>
    <r>
      <rPr>
        <rFont val="Roboto"/>
        <color rgb="FF444444"/>
        <sz val="9.0"/>
      </rPr>
      <t>ID</t>
    </r>
    <r>
      <rPr>
        <rFont val="Noto Sans CJK SC"/>
        <color rgb="FF444444"/>
        <sz val="9.0"/>
      </rPr>
      <t xml:space="preserve">에 매핑 </t>
    </r>
    <r>
      <rPr>
        <rFont val="Roboto"/>
        <color rgb="FF444444"/>
        <sz val="9.0"/>
      </rPr>
      <t xml:space="preserve">· </t>
    </r>
    <r>
      <rPr>
        <rFont val="Noto Sans CJK SC"/>
        <color rgb="FF444444"/>
        <sz val="9.0"/>
      </rPr>
      <t>명시적 제외 범위</t>
    </r>
    <r>
      <rPr>
        <rFont val="Roboto"/>
        <color rgb="FF444444"/>
        <sz val="9.0"/>
      </rPr>
      <t>(</t>
    </r>
    <r>
      <rPr>
        <rFont val="Noto Sans CJK SC"/>
        <color rgb="FF444444"/>
        <sz val="9.0"/>
      </rPr>
      <t>권한</t>
    </r>
    <r>
      <rPr>
        <rFont val="Roboto"/>
        <color rgb="FF444444"/>
        <sz val="9.0"/>
      </rPr>
      <t>·</t>
    </r>
    <r>
      <rPr>
        <rFont val="Noto Sans CJK SC"/>
        <color rgb="FF444444"/>
        <sz val="9.0"/>
      </rPr>
      <t>감사</t>
    </r>
    <r>
      <rPr>
        <rFont val="Roboto"/>
        <color rgb="FF444444"/>
        <sz val="9.0"/>
      </rPr>
      <t>·</t>
    </r>
    <r>
      <rPr>
        <rFont val="Noto Sans CJK SC"/>
        <color rgb="FF444444"/>
        <sz val="9.0"/>
      </rPr>
      <t>통합검색</t>
    </r>
    <r>
      <rPr>
        <rFont val="Roboto"/>
        <color rgb="FF444444"/>
        <sz val="9.0"/>
      </rPr>
      <t>·</t>
    </r>
    <r>
      <rPr>
        <rFont val="Noto Sans CJK SC"/>
        <color rgb="FF444444"/>
        <sz val="9.0"/>
      </rPr>
      <t>전수 이관</t>
    </r>
    <r>
      <rPr>
        <rFont val="Roboto"/>
        <color rgb="FF444444"/>
        <sz val="9.0"/>
      </rPr>
      <t>·</t>
    </r>
    <r>
      <rPr>
        <rFont val="Noto Sans CJK SC"/>
        <color rgb="FF444444"/>
        <sz val="9.0"/>
      </rPr>
      <t>파인튜닝</t>
    </r>
    <r>
      <rPr>
        <rFont val="Roboto"/>
        <color rgb="FF444444"/>
        <sz val="9.0"/>
      </rPr>
      <t xml:space="preserve">) </t>
    </r>
    <r>
      <rPr>
        <rFont val="Noto Sans CJK SC"/>
        <color rgb="FF444444"/>
        <sz val="9.0"/>
      </rPr>
      <t xml:space="preserve">삭제 </t>
    </r>
    <r>
      <rPr>
        <rFont val="Roboto"/>
        <color rgb="FF444444"/>
        <sz val="9.0"/>
      </rPr>
      <t xml:space="preserve">· </t>
    </r>
    <r>
      <rPr>
        <rFont val="Noto Sans CJK SC"/>
        <color rgb="FF444444"/>
        <sz val="9.0"/>
      </rPr>
      <t>일정 프레임</t>
    </r>
    <r>
      <rPr>
        <rFont val="Roboto"/>
        <color rgb="FF444444"/>
        <sz val="9.0"/>
      </rPr>
      <t>(7/27~9/18, 0~4</t>
    </r>
    <r>
      <rPr>
        <rFont val="Noto Sans CJK SC"/>
        <color rgb="FF444444"/>
        <sz val="9.0"/>
      </rPr>
      <t>단계</t>
    </r>
    <r>
      <rPr>
        <rFont val="Roboto"/>
        <color rgb="FF444444"/>
        <sz val="9.0"/>
      </rPr>
      <t xml:space="preserve">, M0~M5) </t>
    </r>
    <r>
      <rPr>
        <rFont val="Noto Sans CJK SC"/>
        <color rgb="FF444444"/>
        <sz val="9.0"/>
      </rPr>
      <t>유지</t>
    </r>
  </si>
  <si>
    <r>
      <rPr>
        <rFont val="Noto Sans CJK SC"/>
        <color rgb="FF444444"/>
        <sz val="9.0"/>
      </rPr>
      <t xml:space="preserve">완료 예정일은 </t>
    </r>
    <r>
      <rPr>
        <rFont val="Noto Sans"/>
        <color rgb="FF444444"/>
        <sz val="9.0"/>
      </rPr>
      <t>'</t>
    </r>
    <r>
      <rPr>
        <rFont val="Noto Sans CJK SC"/>
        <color rgb="FF444444"/>
        <sz val="9.0"/>
      </rPr>
      <t>갠트 차트 템플릿</t>
    </r>
    <r>
      <rPr>
        <rFont val="Noto Sans"/>
        <color rgb="FF444444"/>
        <sz val="9.0"/>
      </rPr>
      <t xml:space="preserve">' </t>
    </r>
    <r>
      <rPr>
        <rFont val="Noto Sans CJK SC"/>
        <color rgb="FF444444"/>
        <sz val="9.0"/>
      </rPr>
      <t xml:space="preserve">시트의 최종 </t>
    </r>
    <r>
      <rPr>
        <rFont val="Noto Sans"/>
        <color rgb="FF444444"/>
        <sz val="9.0"/>
      </rPr>
      <t xml:space="preserve">WBS </t>
    </r>
    <r>
      <rPr>
        <rFont val="Noto Sans CJK SC"/>
        <color rgb="FF444444"/>
        <sz val="9.0"/>
      </rPr>
      <t>작업 마감일을 참조하는 수식입니다</t>
    </r>
    <r>
      <rPr>
        <rFont val="Noto Sans"/>
        <color rgb="FF444444"/>
        <sz val="9.0"/>
      </rPr>
      <t xml:space="preserve">. </t>
    </r>
    <r>
      <rPr>
        <rFont val="Noto Sans CJK SC"/>
        <color rgb="FF444444"/>
        <sz val="9.0"/>
      </rPr>
      <t>상태 열은 팀이 직접 입력하는 칸입니다</t>
    </r>
    <r>
      <rPr>
        <rFont val="Noto Sans"/>
        <color rgb="FF444444"/>
        <sz val="9.0"/>
      </rPr>
      <t>(</t>
    </r>
    <r>
      <rPr>
        <rFont val="Noto Sans CJK SC"/>
        <color rgb="FF444444"/>
        <sz val="9.0"/>
      </rPr>
      <t>미착수</t>
    </r>
    <r>
      <rPr>
        <rFont val="Noto Sans"/>
        <color rgb="FF444444"/>
        <sz val="9.0"/>
      </rPr>
      <t>/</t>
    </r>
    <r>
      <rPr>
        <rFont val="Noto Sans CJK SC"/>
        <color rgb="FF444444"/>
        <sz val="9.0"/>
      </rPr>
      <t>진행중</t>
    </r>
    <r>
      <rPr>
        <rFont val="Noto Sans"/>
        <color rgb="FF444444"/>
        <sz val="9.0"/>
      </rPr>
      <t>/</t>
    </r>
    <r>
      <rPr>
        <rFont val="Noto Sans CJK SC"/>
        <color rgb="FF444444"/>
        <sz val="9.0"/>
      </rPr>
      <t>완료</t>
    </r>
    <r>
      <rPr>
        <rFont val="Noto Sans"/>
        <color rgb="FF444444"/>
        <sz val="9.0"/>
      </rPr>
      <t>).</t>
    </r>
  </si>
  <si>
    <r>
      <rPr>
        <rFont val="Noto Sans CJK SC"/>
        <b/>
        <color rgb="FF000000"/>
        <sz val="9.0"/>
      </rPr>
      <t xml:space="preserve">요구사항 </t>
    </r>
    <r>
      <rPr>
        <rFont val="Noto Sans"/>
        <b/>
        <color rgb="FF000000"/>
        <sz val="9.0"/>
      </rPr>
      <t>ID</t>
    </r>
  </si>
  <si>
    <t>프로젝트 이름</t>
  </si>
  <si>
    <r>
      <rPr>
        <rFont val="Noto Sans"/>
        <color rgb="FF222222"/>
        <sz val="10.0"/>
      </rPr>
      <t xml:space="preserve">AI </t>
    </r>
    <r>
      <rPr>
        <rFont val="Noto Sans CJK SC"/>
        <color rgb="FF222222"/>
        <sz val="10.0"/>
      </rPr>
      <t xml:space="preserve">기반 부동산 중개 장부 </t>
    </r>
    <r>
      <rPr>
        <rFont val="Noto Sans"/>
        <color rgb="FF222222"/>
        <sz val="10.0"/>
      </rPr>
      <t>MVP</t>
    </r>
  </si>
  <si>
    <t>구분</t>
  </si>
  <si>
    <t>우선</t>
  </si>
  <si>
    <t>요구사항 요약</t>
  </si>
  <si>
    <t>수용 기준</t>
  </si>
  <si>
    <r>
      <rPr>
        <rFont val="Noto Sans CJK SC"/>
        <b/>
        <color rgb="FF000000"/>
        <sz val="9.0"/>
      </rPr>
      <t xml:space="preserve">관련 </t>
    </r>
    <r>
      <rPr>
        <rFont val="Noto Sans"/>
        <b/>
        <color rgb="FF000000"/>
        <sz val="9.0"/>
      </rPr>
      <t>WBS</t>
    </r>
  </si>
  <si>
    <r>
      <rPr>
        <rFont val="Noto Sans CJK SC"/>
        <b/>
        <color rgb="FF000000"/>
        <sz val="9.0"/>
      </rPr>
      <t xml:space="preserve">최종 </t>
    </r>
    <r>
      <rPr>
        <rFont val="Noto Sans"/>
        <b/>
        <color rgb="FF000000"/>
        <sz val="9.0"/>
      </rPr>
      <t>WBS</t>
    </r>
  </si>
  <si>
    <t>완료 예정일</t>
  </si>
  <si>
    <t>회사명</t>
  </si>
  <si>
    <t>검증 마일스톤</t>
  </si>
  <si>
    <t>상태</t>
  </si>
  <si>
    <t>MVP-F1-01</t>
  </si>
  <si>
    <r>
      <rPr>
        <rFont val="Noto Sans"/>
        <color rgb="FF222222"/>
        <sz val="10.0"/>
      </rPr>
      <t>SK</t>
    </r>
    <r>
      <rPr>
        <rFont val="Noto Sans CJK SC"/>
        <color rgb="FF222222"/>
        <sz val="10.0"/>
      </rPr>
      <t xml:space="preserve">네트웍스 </t>
    </r>
    <r>
      <rPr>
        <rFont val="Noto Sans"/>
        <color rgb="FF222222"/>
        <sz val="10.0"/>
      </rPr>
      <t xml:space="preserve">Family AI </t>
    </r>
    <r>
      <rPr>
        <rFont val="Noto Sans CJK SC"/>
        <color rgb="FF222222"/>
        <sz val="10.0"/>
      </rPr>
      <t xml:space="preserve">캠프 </t>
    </r>
    <r>
      <rPr>
        <rFont val="Noto Sans"/>
        <color rgb="FF222222"/>
        <sz val="10.0"/>
      </rPr>
      <t>30</t>
    </r>
    <r>
      <rPr>
        <rFont val="Noto Sans CJK SC"/>
        <color rgb="FF222222"/>
        <sz val="10.0"/>
      </rPr>
      <t>기</t>
    </r>
  </si>
  <si>
    <t>프로젝트 관리자</t>
  </si>
  <si>
    <t>F1</t>
  </si>
  <si>
    <t>Core</t>
  </si>
  <si>
    <r>
      <rPr>
        <rFont val="Noto Sans"/>
        <color rgb="FF222222"/>
        <sz val="10.0"/>
      </rPr>
      <t>3</t>
    </r>
    <r>
      <rPr>
        <rFont val="Arial"/>
        <color rgb="FF222222"/>
        <sz val="10.0"/>
      </rPr>
      <t xml:space="preserve">팀 </t>
    </r>
    <r>
      <rPr>
        <rFont val="Noto Sans"/>
        <color rgb="FF222222"/>
        <sz val="10.0"/>
      </rPr>
      <t>(</t>
    </r>
    <r>
      <rPr>
        <rFont val="Arial"/>
        <color rgb="FF222222"/>
        <sz val="10.0"/>
      </rPr>
      <t xml:space="preserve">담당 </t>
    </r>
    <r>
      <rPr>
        <rFont val="Noto Sans"/>
        <color rgb="FF222222"/>
        <sz val="10.0"/>
      </rPr>
      <t>A · B · C · D)</t>
    </r>
  </si>
  <si>
    <t>날짜</t>
  </si>
  <si>
    <r>
      <rPr>
        <rFont val="Noto Sans CJK SC"/>
        <color rgb="FF222222"/>
        <sz val="9.0"/>
      </rPr>
      <t>장부 최소 목록 조회 — 매물장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구입장 저장 완료 행 목록 조회 및 행 선택</t>
    </r>
  </si>
  <si>
    <t>시드 데이터에서 두 장부 목록이 열리고 선택 행의 상세가 표시된다</t>
  </si>
  <si>
    <t>1.2, 1.4</t>
  </si>
  <si>
    <t>1.2</t>
  </si>
  <si>
    <r>
      <rPr>
        <rFont val="Roboto"/>
        <b/>
        <color rgb="FF000000"/>
        <sz val="9.0"/>
      </rPr>
      <t xml:space="preserve">WBS </t>
    </r>
    <r>
      <rPr>
        <rFont val="Noto Sans CJK SC"/>
        <b/>
        <color rgb="FF000000"/>
        <sz val="9.0"/>
      </rPr>
      <t>번호</t>
    </r>
  </si>
  <si>
    <t>작업 제목</t>
  </si>
  <si>
    <r>
      <rPr>
        <rFont val="Noto Sans CJK SC"/>
        <b/>
        <color rgb="FF000000"/>
        <sz val="9.0"/>
      </rPr>
      <t xml:space="preserve">요구사항 </t>
    </r>
    <r>
      <rPr>
        <rFont val="Noto Sans"/>
        <b/>
        <color rgb="FF000000"/>
        <sz val="9.0"/>
      </rPr>
      <t>ID</t>
    </r>
  </si>
  <si>
    <t>작업 소유자</t>
  </si>
  <si>
    <t>M1</t>
  </si>
  <si>
    <t>시작일</t>
  </si>
  <si>
    <t>미착수</t>
  </si>
  <si>
    <t>마감일</t>
  </si>
  <si>
    <t>기간</t>
  </si>
  <si>
    <t>MVP-F1-02</t>
  </si>
  <si>
    <t>작업 완료 비율</t>
  </si>
  <si>
    <r>
      <rPr>
        <rFont val="Roboto"/>
        <b/>
        <color rgb="FFFFFFFF"/>
        <sz val="9.0"/>
      </rPr>
      <t>0</t>
    </r>
    <r>
      <rPr>
        <rFont val="Noto Sans CJK SC"/>
        <b/>
        <color rgb="FFFFFFFF"/>
        <sz val="9.0"/>
      </rPr>
      <t>단계 기획</t>
    </r>
    <r>
      <rPr>
        <rFont val="Roboto"/>
        <b/>
        <color rgb="FFFFFFFF"/>
        <sz val="9.0"/>
      </rPr>
      <t>·</t>
    </r>
    <r>
      <rPr>
        <rFont val="Noto Sans CJK SC"/>
        <b/>
        <color rgb="FFFFFFFF"/>
        <sz val="9.0"/>
      </rPr>
      <t>준비</t>
    </r>
  </si>
  <si>
    <r>
      <rPr>
        <rFont val="Noto Sans CJK SC"/>
        <color rgb="FF222222"/>
        <sz val="9.0"/>
      </rPr>
      <t>행 추가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상세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저장 — 두 장부에서 단건 추가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수정 지원</t>
    </r>
  </si>
  <si>
    <r>
      <rPr>
        <rFont val="Noto Sans CJK SC"/>
        <color rgb="FF444444"/>
        <sz val="9.0"/>
      </rPr>
      <t>신규 행 추가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저장 후 재조회 시 동일 값이 나타난다</t>
    </r>
  </si>
  <si>
    <t>1.3, 1.4</t>
  </si>
  <si>
    <t>1.3</t>
  </si>
  <si>
    <r>
      <rPr>
        <rFont val="Roboto"/>
        <b/>
        <color rgb="FFFFFFFF"/>
        <sz val="9.0"/>
      </rPr>
      <t>1</t>
    </r>
    <r>
      <rPr>
        <rFont val="Noto Sans CJK SC"/>
        <b/>
        <color rgb="FFFFFFFF"/>
        <sz val="9.0"/>
      </rPr>
      <t xml:space="preserve">단계 </t>
    </r>
    <r>
      <rPr>
        <rFont val="Roboto"/>
        <b/>
        <color rgb="FFFFFFFF"/>
        <sz val="9.0"/>
      </rPr>
      <t xml:space="preserve">F1 </t>
    </r>
    <r>
      <rPr>
        <rFont val="Noto Sans CJK SC"/>
        <b/>
        <color rgb="FFFFFFFF"/>
        <sz val="9.0"/>
      </rPr>
      <t>최소 기반</t>
    </r>
  </si>
  <si>
    <r>
      <rPr>
        <rFont val="Roboto"/>
        <b/>
        <color rgb="FFFFFFFF"/>
        <sz val="9.0"/>
      </rPr>
      <t>2</t>
    </r>
    <r>
      <rPr>
        <rFont val="Noto Sans CJK SC"/>
        <b/>
        <color rgb="FFFFFFFF"/>
        <sz val="9.0"/>
      </rPr>
      <t xml:space="preserve">단계 </t>
    </r>
    <r>
      <rPr>
        <rFont val="Roboto"/>
        <b/>
        <color rgb="FFFFFFFF"/>
        <sz val="9.0"/>
      </rPr>
      <t xml:space="preserve">F2·F3 </t>
    </r>
    <r>
      <rPr>
        <rFont val="Noto Sans CJK SC"/>
        <b/>
        <color rgb="FFFFFFFF"/>
        <sz val="9.0"/>
      </rPr>
      <t>구현</t>
    </r>
  </si>
  <si>
    <t>MVP-F1-03</t>
  </si>
  <si>
    <r>
      <rPr>
        <rFont val="Roboto"/>
        <b/>
        <color rgb="FFFFFFFF"/>
        <sz val="9.0"/>
      </rPr>
      <t>3</t>
    </r>
    <r>
      <rPr>
        <rFont val="Noto Sans CJK SC"/>
        <b/>
        <color rgb="FFFFFFFF"/>
        <sz val="9.0"/>
      </rPr>
      <t>단계 판정</t>
    </r>
    <r>
      <rPr>
        <rFont val="Roboto"/>
        <b/>
        <color rgb="FFFFFFFF"/>
        <sz val="9.0"/>
      </rPr>
      <t>·</t>
    </r>
    <r>
      <rPr>
        <rFont val="Noto Sans CJK SC"/>
        <b/>
        <color rgb="FFFFFFFF"/>
        <sz val="9.0"/>
      </rPr>
      <t>평가</t>
    </r>
  </si>
  <si>
    <r>
      <rPr>
        <rFont val="Noto Sans CJK SC"/>
        <color rgb="FF222222"/>
        <sz val="9.0"/>
      </rPr>
      <t xml:space="preserve">최소 데이터 필드 — 매물 </t>
    </r>
    <r>
      <rPr>
        <rFont val="Noto Sans"/>
        <color rgb="FF222222"/>
        <sz val="9.0"/>
      </rPr>
      <t>8</t>
    </r>
    <r>
      <rPr>
        <rFont val="Noto Sans CJK SC"/>
        <color rgb="FF222222"/>
        <sz val="9.0"/>
      </rPr>
      <t>개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 xml:space="preserve">손님 </t>
    </r>
    <r>
      <rPr>
        <rFont val="Noto Sans"/>
        <color rgb="FF222222"/>
        <sz val="9.0"/>
      </rPr>
      <t>9</t>
    </r>
    <r>
      <rPr>
        <rFont val="Noto Sans CJK SC"/>
        <color rgb="FF222222"/>
        <sz val="9.0"/>
      </rPr>
      <t>개 핵심 필드 저장</t>
    </r>
  </si>
  <si>
    <r>
      <rPr>
        <rFont val="Roboto"/>
        <b/>
        <color rgb="FFFFFFFF"/>
        <sz val="9.0"/>
      </rPr>
      <t>4</t>
    </r>
    <r>
      <rPr>
        <rFont val="Noto Sans CJK SC"/>
        <b/>
        <color rgb="FFFFFFFF"/>
        <sz val="9.0"/>
      </rPr>
      <t>단계 통합</t>
    </r>
    <r>
      <rPr>
        <rFont val="Roboto"/>
        <b/>
        <color rgb="FFFFFFFF"/>
        <sz val="9.0"/>
      </rPr>
      <t>·</t>
    </r>
    <r>
      <rPr>
        <rFont val="Noto Sans CJK SC"/>
        <b/>
        <color rgb="FFFFFFFF"/>
        <sz val="9.0"/>
      </rPr>
      <t>마무리</t>
    </r>
  </si>
  <si>
    <r>
      <rPr>
        <rFont val="Noto Sans CJK SC"/>
        <color rgb="FF444444"/>
        <sz val="9.0"/>
      </rPr>
      <t xml:space="preserve">필수 식별값과 거래 조건이 </t>
    </r>
    <r>
      <rPr>
        <rFont val="Noto Sans"/>
        <color rgb="FF444444"/>
        <sz val="9.0"/>
      </rPr>
      <t>API</t>
    </r>
    <r>
      <rPr>
        <rFont val="Noto Sans CJK SC"/>
        <color rgb="FF444444"/>
        <sz val="9.0"/>
      </rPr>
      <t>와 화면에서 동일하게 저장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조회된다</t>
    </r>
  </si>
  <si>
    <t>1.1, 1.4</t>
  </si>
  <si>
    <t>1.4</t>
  </si>
  <si>
    <r>
      <rPr>
        <rFont val="Noto Sans CJK SC"/>
        <b/>
        <color rgb="FFFFFFFF"/>
        <sz val="8.0"/>
      </rPr>
      <t xml:space="preserve">준비주
</t>
    </r>
    <r>
      <rPr>
        <rFont val="Noto Sans"/>
        <b/>
        <color rgb="FFFFFFFF"/>
        <sz val="8.0"/>
      </rPr>
      <t>7/27</t>
    </r>
  </si>
  <si>
    <r>
      <rPr>
        <rFont val="Noto Sans"/>
        <b/>
        <color rgb="FFFFFFFF"/>
        <sz val="8.0"/>
      </rPr>
      <t>1</t>
    </r>
    <r>
      <rPr>
        <rFont val="Noto Sans CJK SC"/>
        <b/>
        <color rgb="FFFFFFFF"/>
        <sz val="8.0"/>
      </rPr>
      <t xml:space="preserve">주
</t>
    </r>
    <r>
      <rPr>
        <rFont val="Noto Sans"/>
        <b/>
        <color rgb="FFFFFFFF"/>
        <sz val="8.0"/>
      </rPr>
      <t>8/3</t>
    </r>
  </si>
  <si>
    <t>MVP-F1-04</t>
  </si>
  <si>
    <r>
      <rPr>
        <rFont val="Noto Sans"/>
        <b/>
        <color rgb="FFFFFFFF"/>
        <sz val="8.0"/>
      </rPr>
      <t>2</t>
    </r>
    <r>
      <rPr>
        <rFont val="Noto Sans CJK SC"/>
        <b/>
        <color rgb="FFFFFFFF"/>
        <sz val="8.0"/>
      </rPr>
      <t xml:space="preserve">주
</t>
    </r>
    <r>
      <rPr>
        <rFont val="Noto Sans"/>
        <b/>
        <color rgb="FFFFFFFF"/>
        <sz val="8.0"/>
      </rPr>
      <t>8/10</t>
    </r>
  </si>
  <si>
    <r>
      <rPr>
        <rFont val="Noto Sans"/>
        <b/>
        <color rgb="FFFFFFFF"/>
        <sz val="8.0"/>
      </rPr>
      <t>3</t>
    </r>
    <r>
      <rPr>
        <rFont val="Noto Sans CJK SC"/>
        <b/>
        <color rgb="FFFFFFFF"/>
        <sz val="8.0"/>
      </rPr>
      <t xml:space="preserve">주
</t>
    </r>
    <r>
      <rPr>
        <rFont val="Noto Sans"/>
        <b/>
        <color rgb="FFFFFFFF"/>
        <sz val="8.0"/>
      </rPr>
      <t>8/17</t>
    </r>
  </si>
  <si>
    <r>
      <rPr>
        <rFont val="Noto Sans CJK SC"/>
        <color rgb="FF222222"/>
        <sz val="9.0"/>
      </rPr>
      <t xml:space="preserve">상담 로그 추가 — 대상 </t>
    </r>
    <r>
      <rPr>
        <rFont val="Noto Sans"/>
        <color rgb="FF222222"/>
        <sz val="9.0"/>
      </rPr>
      <t>ID·</t>
    </r>
    <r>
      <rPr>
        <rFont val="Noto Sans CJK SC"/>
        <color rgb="FF222222"/>
        <sz val="9.0"/>
      </rPr>
      <t>시각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작성 주체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본문 추가 전용 저장</t>
    </r>
  </si>
  <si>
    <t>기존 로그가 변경되지 않고 새 로그가 시간순으로 누적된다</t>
  </si>
  <si>
    <t>1.5</t>
  </si>
  <si>
    <r>
      <rPr>
        <rFont val="Noto Sans"/>
        <b/>
        <color rgb="FFFFFFFF"/>
        <sz val="8.0"/>
      </rPr>
      <t>4</t>
    </r>
    <r>
      <rPr>
        <rFont val="Noto Sans CJK SC"/>
        <b/>
        <color rgb="FFFFFFFF"/>
        <sz val="8.0"/>
      </rPr>
      <t xml:space="preserve">주
</t>
    </r>
    <r>
      <rPr>
        <rFont val="Noto Sans"/>
        <b/>
        <color rgb="FFFFFFFF"/>
        <sz val="8.0"/>
      </rPr>
      <t>8/24</t>
    </r>
  </si>
  <si>
    <r>
      <rPr>
        <rFont val="Noto Sans"/>
        <b/>
        <color rgb="FFFFFFFF"/>
        <sz val="8.0"/>
      </rPr>
      <t>5</t>
    </r>
    <r>
      <rPr>
        <rFont val="Noto Sans CJK SC"/>
        <b/>
        <color rgb="FFFFFFFF"/>
        <sz val="8.0"/>
      </rPr>
      <t xml:space="preserve">주
</t>
    </r>
    <r>
      <rPr>
        <rFont val="Noto Sans"/>
        <b/>
        <color rgb="FFFFFFFF"/>
        <sz val="8.0"/>
      </rPr>
      <t>8/31</t>
    </r>
  </si>
  <si>
    <r>
      <rPr>
        <rFont val="Noto Sans"/>
        <b/>
        <color rgb="FFFFFFFF"/>
        <sz val="8.0"/>
      </rPr>
      <t>6</t>
    </r>
    <r>
      <rPr>
        <rFont val="Noto Sans CJK SC"/>
        <b/>
        <color rgb="FFFFFFFF"/>
        <sz val="8.0"/>
      </rPr>
      <t xml:space="preserve">주
</t>
    </r>
    <r>
      <rPr>
        <rFont val="Noto Sans"/>
        <b/>
        <color rgb="FFFFFFFF"/>
        <sz val="8.0"/>
      </rPr>
      <t>9/7</t>
    </r>
  </si>
  <si>
    <t>MVP-F1-05</t>
  </si>
  <si>
    <r>
      <rPr>
        <rFont val="Noto Sans"/>
        <b/>
        <color rgb="FFFFFFFF"/>
        <sz val="8.0"/>
      </rPr>
      <t>7</t>
    </r>
    <r>
      <rPr>
        <rFont val="Noto Sans CJK SC"/>
        <b/>
        <color rgb="FFFFFFFF"/>
        <sz val="8.0"/>
      </rPr>
      <t xml:space="preserve">주
</t>
    </r>
    <r>
      <rPr>
        <rFont val="Noto Sans"/>
        <b/>
        <color rgb="FFFFFFFF"/>
        <sz val="8.0"/>
      </rPr>
      <t>9/14</t>
    </r>
  </si>
  <si>
    <r>
      <rPr>
        <rFont val="Noto Sans"/>
        <color rgb="FF222222"/>
        <sz val="9.0"/>
      </rPr>
      <t xml:space="preserve">F2/F3 </t>
    </r>
    <r>
      <rPr>
        <rFont val="Noto Sans CJK SC"/>
        <color rgb="FF222222"/>
        <sz val="9.0"/>
      </rPr>
      <t>데이터 인터페이스 — 승인 결과 저장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후보 조회 인터페이스 제공</t>
    </r>
  </si>
  <si>
    <t>월</t>
  </si>
  <si>
    <r>
      <rPr>
        <rFont val="Noto Sans CJK SC"/>
        <color rgb="FF444444"/>
        <sz val="9.0"/>
      </rPr>
      <t xml:space="preserve">화면 스크래핑 없이 </t>
    </r>
    <r>
      <rPr>
        <rFont val="Noto Sans"/>
        <color rgb="FF444444"/>
        <sz val="9.0"/>
      </rPr>
      <t xml:space="preserve">F2 </t>
    </r>
    <r>
      <rPr>
        <rFont val="Noto Sans CJK SC"/>
        <color rgb="FF444444"/>
        <sz val="9.0"/>
      </rPr>
      <t xml:space="preserve">저장과 </t>
    </r>
    <r>
      <rPr>
        <rFont val="Noto Sans"/>
        <color rgb="FF444444"/>
        <sz val="9.0"/>
      </rPr>
      <t xml:space="preserve">F3 </t>
    </r>
    <r>
      <rPr>
        <rFont val="Noto Sans CJK SC"/>
        <color rgb="FF444444"/>
        <sz val="9.0"/>
      </rPr>
      <t>후보 조회가 성공한다</t>
    </r>
  </si>
  <si>
    <t>화</t>
  </si>
  <si>
    <t>1.1, 2.10</t>
  </si>
  <si>
    <t>수</t>
  </si>
  <si>
    <t>2.10</t>
  </si>
  <si>
    <t>목</t>
  </si>
  <si>
    <t>금</t>
  </si>
  <si>
    <t>M2</t>
  </si>
  <si>
    <t>MVP-F1-06</t>
  </si>
  <si>
    <t>Support</t>
  </si>
  <si>
    <r>
      <rPr>
        <rFont val="Noto Sans CJK SC"/>
        <color rgb="FF222222"/>
        <sz val="9.0"/>
      </rPr>
      <t>작성 주체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 xml:space="preserve">개인정보 구분 — </t>
    </r>
    <r>
      <rPr>
        <rFont val="Noto Sans"/>
        <color rgb="FF222222"/>
        <sz val="9.0"/>
      </rPr>
      <t xml:space="preserve">AI </t>
    </r>
    <r>
      <rPr>
        <rFont val="Noto Sans CJK SC"/>
        <color rgb="FF222222"/>
        <sz val="9.0"/>
      </rPr>
      <t>생성 주체 표시</t>
    </r>
    <r>
      <rPr>
        <rFont val="Noto Sans"/>
        <color rgb="FF222222"/>
        <sz val="9.0"/>
      </rPr>
      <t xml:space="preserve">, </t>
    </r>
    <r>
      <rPr>
        <rFont val="Noto Sans CJK SC"/>
        <color rgb="FF222222"/>
        <sz val="9.0"/>
      </rPr>
      <t>직접 식별자 기본 마스킹</t>
    </r>
  </si>
  <si>
    <r>
      <rPr>
        <rFont val="Noto Sans"/>
        <color rgb="FF444444"/>
        <sz val="9.0"/>
      </rPr>
      <t xml:space="preserve">F2/F3 </t>
    </r>
    <r>
      <rPr>
        <rFont val="Noto Sans CJK SC"/>
        <color rgb="FF444444"/>
        <sz val="9.0"/>
      </rPr>
      <t xml:space="preserve">생성 로그가 구분되고 </t>
    </r>
    <r>
      <rPr>
        <rFont val="Noto Sans"/>
        <color rgb="FF444444"/>
        <sz val="9.0"/>
      </rPr>
      <t xml:space="preserve">F3 </t>
    </r>
    <r>
      <rPr>
        <rFont val="Noto Sans CJK SC"/>
        <color rgb="FF444444"/>
        <sz val="9.0"/>
      </rPr>
      <t>입력에 원문 연락처가 없다</t>
    </r>
  </si>
  <si>
    <t>1.5, 1.7, 2.10</t>
  </si>
  <si>
    <t>0</t>
  </si>
  <si>
    <t>MVP-F1-07</t>
  </si>
  <si>
    <r>
      <rPr>
        <rFont val="Noto Sans"/>
        <b/>
        <color rgb="FF111111"/>
        <sz val="11.0"/>
      </rPr>
      <t>0</t>
    </r>
    <r>
      <rPr>
        <rFont val="Noto Sans CJK SC"/>
        <b/>
        <color rgb="FF111111"/>
        <sz val="11.0"/>
      </rPr>
      <t xml:space="preserve">단계 </t>
    </r>
    <r>
      <rPr>
        <rFont val="Noto Sans"/>
        <b/>
        <color rgb="FF111111"/>
        <sz val="11.0"/>
      </rPr>
      <t xml:space="preserve">· </t>
    </r>
    <r>
      <rPr>
        <rFont val="Noto Sans CJK SC"/>
        <b/>
        <color rgb="FF111111"/>
        <sz val="11.0"/>
      </rPr>
      <t>기획</t>
    </r>
    <r>
      <rPr>
        <rFont val="Noto Sans"/>
        <b/>
        <color rgb="FF111111"/>
        <sz val="11.0"/>
      </rPr>
      <t>·</t>
    </r>
    <r>
      <rPr>
        <rFont val="Noto Sans CJK SC"/>
        <b/>
        <color rgb="FF111111"/>
        <sz val="11.0"/>
      </rPr>
      <t xml:space="preserve">준비 </t>
    </r>
    <r>
      <rPr>
        <rFont val="Noto Sans"/>
        <b/>
        <color rgb="FF111111"/>
        <sz val="11.0"/>
      </rPr>
      <t xml:space="preserve">(7/27~7/31, </t>
    </r>
    <r>
      <rPr>
        <rFont val="Noto Sans CJK SC"/>
        <b/>
        <color rgb="FF111111"/>
        <sz val="11.0"/>
      </rPr>
      <t>준비주</t>
    </r>
    <r>
      <rPr>
        <rFont val="Noto Sans"/>
        <b/>
        <color rgb="FF111111"/>
        <sz val="11.0"/>
      </rPr>
      <t>)</t>
    </r>
  </si>
  <si>
    <t>—</t>
  </si>
  <si>
    <r>
      <rPr>
        <rFont val="Noto Sans"/>
        <color rgb="FF222222"/>
        <sz val="9.0"/>
      </rPr>
      <t xml:space="preserve">AI </t>
    </r>
    <r>
      <rPr>
        <rFont val="Noto Sans CJK SC"/>
        <color rgb="FF222222"/>
        <sz val="9.0"/>
      </rPr>
      <t xml:space="preserve">장애 격리 — </t>
    </r>
    <r>
      <rPr>
        <rFont val="Noto Sans"/>
        <color rgb="FF222222"/>
        <sz val="9.0"/>
      </rPr>
      <t xml:space="preserve">F2/F3 </t>
    </r>
    <r>
      <rPr>
        <rFont val="Noto Sans CJK SC"/>
        <color rgb="FF222222"/>
        <sz val="9.0"/>
      </rPr>
      <t xml:space="preserve">실패 시에도 </t>
    </r>
    <r>
      <rPr>
        <rFont val="Noto Sans"/>
        <color rgb="FF222222"/>
        <sz val="9.0"/>
      </rPr>
      <t xml:space="preserve">F1 </t>
    </r>
    <r>
      <rPr>
        <rFont val="Noto Sans CJK SC"/>
        <color rgb="FF222222"/>
        <sz val="9.0"/>
      </rPr>
      <t>조회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수기 저장 가능</t>
    </r>
  </si>
  <si>
    <t>전원</t>
  </si>
  <si>
    <r>
      <rPr>
        <rFont val="Noto Sans"/>
        <color rgb="FF444444"/>
        <sz val="9.0"/>
      </rPr>
      <t xml:space="preserve">AI </t>
    </r>
    <r>
      <rPr>
        <rFont val="Noto Sans CJK SC"/>
        <color rgb="FF444444"/>
        <sz val="9.0"/>
      </rPr>
      <t xml:space="preserve">장애를 주입해도 </t>
    </r>
    <r>
      <rPr>
        <rFont val="Noto Sans"/>
        <color rgb="FF444444"/>
        <sz val="9.0"/>
      </rPr>
      <t xml:space="preserve">F1 </t>
    </r>
    <r>
      <rPr>
        <rFont val="Noto Sans CJK SC"/>
        <color rgb="FF444444"/>
        <sz val="9.0"/>
      </rPr>
      <t>조회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수기 저장이 성공한다</t>
    </r>
  </si>
  <si>
    <t>3.12, 4.1</t>
  </si>
  <si>
    <t>3.12</t>
  </si>
  <si>
    <t>M3</t>
  </si>
  <si>
    <t>MVP-F1-08</t>
  </si>
  <si>
    <r>
      <rPr>
        <rFont val="Noto Sans CJK SC"/>
        <color rgb="FF222222"/>
        <sz val="9.0"/>
      </rPr>
      <t>평가용 시드 데이터 — 비식별 매물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손님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상담 로그 시드 제공</t>
    </r>
  </si>
  <si>
    <t>동일 시드 버전에서 후보 집합과 평가 입력이 재현된다</t>
  </si>
  <si>
    <t>1.7, 1.8, 4.5</t>
  </si>
  <si>
    <t>1.8</t>
  </si>
  <si>
    <t>MVP-F2-01</t>
  </si>
  <si>
    <t>F2</t>
  </si>
  <si>
    <r>
      <rPr>
        <rFont val="Noto Sans CJK SC"/>
        <color rgb="FF222222"/>
        <sz val="9.0"/>
      </rPr>
      <t xml:space="preserve">음성메모 파일 업로드 — </t>
    </r>
    <r>
      <rPr>
        <rFont val="Noto Sans"/>
        <color rgb="FF222222"/>
        <sz val="9.0"/>
      </rPr>
      <t>wav/mp3/m4a 1</t>
    </r>
    <r>
      <rPr>
        <rFont val="Noto Sans CJK SC"/>
        <color rgb="FF222222"/>
        <sz val="9.0"/>
      </rPr>
      <t>개 선택 후 분석 실행</t>
    </r>
  </si>
  <si>
    <r>
      <rPr>
        <rFont val="Noto Sans CJK SC"/>
        <color rgb="FF444444"/>
        <sz val="9.0"/>
      </rPr>
      <t>지원 파일은 업로드되고 미지원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빈 파일은 분석 전에 거절된다</t>
    </r>
  </si>
  <si>
    <t>1.8, 2.1</t>
  </si>
  <si>
    <t>2.1</t>
  </si>
  <si>
    <t>0.1</t>
  </si>
  <si>
    <r>
      <rPr>
        <rFont val="Noto Sans"/>
        <color rgb="FF222222"/>
        <sz val="10.0"/>
      </rPr>
      <t xml:space="preserve">MVP </t>
    </r>
    <r>
      <rPr>
        <rFont val="Noto Sans CJK SC"/>
        <color rgb="FF222222"/>
        <sz val="10.0"/>
      </rPr>
      <t>가설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범위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 xml:space="preserve">완료 기준 확정 </t>
    </r>
    <r>
      <rPr>
        <rFont val="Noto Sans"/>
        <color rgb="FF222222"/>
        <sz val="10.0"/>
      </rPr>
      <t xml:space="preserve">(Core/Support </t>
    </r>
    <r>
      <rPr>
        <rFont val="Noto Sans CJK SC"/>
        <color rgb="FF222222"/>
        <sz val="10.0"/>
      </rPr>
      <t>구분</t>
    </r>
    <r>
      <rPr>
        <rFont val="Noto Sans"/>
        <color rgb="FF222222"/>
        <sz val="10.0"/>
      </rPr>
      <t>)</t>
    </r>
  </si>
  <si>
    <t>§1·§2·§6</t>
  </si>
  <si>
    <t>A</t>
  </si>
  <si>
    <t>MVP-F2-02</t>
  </si>
  <si>
    <r>
      <rPr>
        <rFont val="Noto Sans"/>
        <color rgb="FF222222"/>
        <sz val="9.0"/>
      </rPr>
      <t xml:space="preserve">STT </t>
    </r>
    <r>
      <rPr>
        <rFont val="Noto Sans CJK SC"/>
        <color rgb="FF222222"/>
        <sz val="9.0"/>
      </rPr>
      <t xml:space="preserve">변환 — </t>
    </r>
    <r>
      <rPr>
        <rFont val="Noto Sans"/>
        <color rgb="FF222222"/>
        <sz val="9.0"/>
      </rPr>
      <t>RunPod Whisper</t>
    </r>
    <r>
      <rPr>
        <rFont val="Noto Sans CJK SC"/>
        <color rgb="FF222222"/>
        <sz val="9.0"/>
      </rPr>
      <t xml:space="preserve">가 음성을 텍스트로 변환해 </t>
    </r>
    <r>
      <rPr>
        <rFont val="Noto Sans"/>
        <color rgb="FF222222"/>
        <sz val="9.0"/>
      </rPr>
      <t xml:space="preserve">F1 </t>
    </r>
    <r>
      <rPr>
        <rFont val="Noto Sans CJK SC"/>
        <color rgb="FF222222"/>
        <sz val="9.0"/>
      </rPr>
      <t>서버로 반환</t>
    </r>
  </si>
  <si>
    <r>
      <rPr>
        <rFont val="Noto Sans CJK SC"/>
        <color rgb="FF444444"/>
        <sz val="9.0"/>
      </rPr>
      <t xml:space="preserve">업로드부터 </t>
    </r>
    <r>
      <rPr>
        <rFont val="Noto Sans"/>
        <color rgb="FF444444"/>
        <sz val="9.0"/>
      </rPr>
      <t xml:space="preserve">STT </t>
    </r>
    <r>
      <rPr>
        <rFont val="Noto Sans CJK SC"/>
        <color rgb="FF444444"/>
        <sz val="9.0"/>
      </rPr>
      <t>결과 반환까지 상태가 표시되고 텍스트가 전달된다</t>
    </r>
  </si>
  <si>
    <t>0.6, 2.4</t>
  </si>
  <si>
    <t>2.4</t>
  </si>
  <si>
    <t>MVP-F2-03</t>
  </si>
  <si>
    <r>
      <rPr>
        <rFont val="Noto Sans CJK SC"/>
        <color rgb="FF222222"/>
        <sz val="9.0"/>
      </rPr>
      <t>대표 상담 유형 분류 — 매도의뢰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매수문의 우선</t>
    </r>
    <r>
      <rPr>
        <rFont val="Noto Sans"/>
        <color rgb="FF222222"/>
        <sz val="9.0"/>
      </rPr>
      <t xml:space="preserve">, </t>
    </r>
    <r>
      <rPr>
        <rFont val="Noto Sans CJK SC"/>
        <color rgb="FF222222"/>
        <sz val="9.0"/>
      </rPr>
      <t>그 밖은 기타</t>
    </r>
  </si>
  <si>
    <r>
      <rPr>
        <rFont val="Noto Sans CJK SC"/>
        <color rgb="FF444444"/>
        <sz val="9.0"/>
      </rPr>
      <t>평가 데이터에서 분류 결과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신뢰도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모델 버전이 기록된다</t>
    </r>
  </si>
  <si>
    <t>1.9, 2.5, 3.7</t>
  </si>
  <si>
    <t>3.7</t>
  </si>
  <si>
    <t>0.2</t>
  </si>
  <si>
    <r>
      <rPr>
        <rFont val="Noto Sans CJK SC"/>
        <color rgb="FF222222"/>
        <sz val="10.0"/>
      </rPr>
      <t xml:space="preserve">요구사항 정의서 정본화 및 </t>
    </r>
    <r>
      <rPr>
        <rFont val="Noto Sans"/>
        <color rgb="FF222222"/>
        <sz val="10.0"/>
      </rPr>
      <t>WBS·</t>
    </r>
    <r>
      <rPr>
        <rFont val="Noto Sans CJK SC"/>
        <color rgb="FF222222"/>
        <sz val="10.0"/>
      </rPr>
      <t>산출물 기준 확정</t>
    </r>
  </si>
  <si>
    <t>§1</t>
  </si>
  <si>
    <t>MVP-F2-04</t>
  </si>
  <si>
    <r>
      <rPr>
        <rFont val="Noto Sans CJK SC"/>
        <color rgb="FF222222"/>
        <sz val="9.0"/>
      </rPr>
      <t xml:space="preserve">핵심 필드 추출 — </t>
    </r>
    <r>
      <rPr>
        <rFont val="Noto Sans"/>
        <color rgb="FF222222"/>
        <sz val="9.0"/>
      </rPr>
      <t xml:space="preserve">MVP-F1-03 </t>
    </r>
    <r>
      <rPr>
        <rFont val="Noto Sans CJK SC"/>
        <color rgb="FF222222"/>
        <sz val="9.0"/>
      </rPr>
      <t>필드만 추출</t>
    </r>
    <r>
      <rPr>
        <rFont val="Noto Sans"/>
        <color rgb="FF222222"/>
        <sz val="9.0"/>
      </rPr>
      <t xml:space="preserve">, </t>
    </r>
    <r>
      <rPr>
        <rFont val="Noto Sans CJK SC"/>
        <color rgb="FF222222"/>
        <sz val="9.0"/>
      </rPr>
      <t>없는 값 생성 금지</t>
    </r>
  </si>
  <si>
    <r>
      <rPr>
        <rFont val="Noto Sans CJK SC"/>
        <color rgb="FF444444"/>
        <sz val="9.0"/>
      </rPr>
      <t>정답 데이터와 필드별 일치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누락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오추출을 비교할 수 있다</t>
    </r>
  </si>
  <si>
    <t>1.9, 2.6, 3.7</t>
  </si>
  <si>
    <t>MVP-F2-05</t>
  </si>
  <si>
    <r>
      <rPr>
        <rFont val="Noto Sans CJK SC"/>
        <color rgb="FF222222"/>
        <sz val="9.0"/>
      </rPr>
      <t xml:space="preserve">근거와 불확실성 표시 — 제안값에 근거 </t>
    </r>
    <r>
      <rPr>
        <rFont val="Noto Sans"/>
        <color rgb="FF222222"/>
        <sz val="9.0"/>
      </rPr>
      <t xml:space="preserve">STT </t>
    </r>
    <r>
      <rPr>
        <rFont val="Noto Sans CJK SC"/>
        <color rgb="FF222222"/>
        <sz val="9.0"/>
      </rPr>
      <t>문장 연결</t>
    </r>
    <r>
      <rPr>
        <rFont val="Noto Sans"/>
        <color rgb="FF222222"/>
        <sz val="9.0"/>
      </rPr>
      <t xml:space="preserve">, </t>
    </r>
    <r>
      <rPr>
        <rFont val="Noto Sans CJK SC"/>
        <color rgb="FF222222"/>
        <sz val="9.0"/>
      </rPr>
      <t>확인 필요 표시</t>
    </r>
  </si>
  <si>
    <t>모든 제안값에 근거가 있거나 확인 필요 상태가 표시된다</t>
  </si>
  <si>
    <t>0.3</t>
  </si>
  <si>
    <t>2.2, 2.6</t>
  </si>
  <si>
    <t>2.6</t>
  </si>
  <si>
    <r>
      <rPr>
        <rFont val="Noto Sans"/>
        <color rgb="FF222222"/>
        <sz val="10.0"/>
      </rPr>
      <t xml:space="preserve">F1·F2·F3 </t>
    </r>
    <r>
      <rPr>
        <rFont val="Noto Sans CJK SC"/>
        <color rgb="FF222222"/>
        <sz val="10.0"/>
      </rPr>
      <t>책임 경계와 연동 원칙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직접 호출 금지</t>
    </r>
    <r>
      <rPr>
        <rFont val="Noto Sans"/>
        <color rgb="FF222222"/>
        <sz val="10.0"/>
      </rPr>
      <t xml:space="preserve">) </t>
    </r>
    <r>
      <rPr>
        <rFont val="Noto Sans CJK SC"/>
        <color rgb="FF222222"/>
        <sz val="10.0"/>
      </rPr>
      <t>정의</t>
    </r>
  </si>
  <si>
    <t>§4·F1-05</t>
  </si>
  <si>
    <t>C</t>
  </si>
  <si>
    <t>MVP-F2-06</t>
  </si>
  <si>
    <r>
      <rPr>
        <rFont val="Noto Sans CJK SC"/>
        <color rgb="FF222222"/>
        <sz val="9.0"/>
      </rPr>
      <t>현재값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제안값 검토 — 나란히 표시하고 빈 필드만 기본 선택</t>
    </r>
  </si>
  <si>
    <t>기존 값은 사용자 선택 없이 변경되지 않는다</t>
  </si>
  <si>
    <t>2.2</t>
  </si>
  <si>
    <t>MVP-F2-07</t>
  </si>
  <si>
    <r>
      <rPr>
        <rFont val="Noto Sans CJK SC"/>
        <color rgb="FF222222"/>
        <sz val="9.0"/>
      </rPr>
      <t>사용자 수정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승인 — 승인 전 확정 장부 데이터 미변경</t>
    </r>
  </si>
  <si>
    <r>
      <rPr>
        <rFont val="Noto Sans CJK SC"/>
        <color rgb="FF444444"/>
        <sz val="9.0"/>
      </rPr>
      <t>승인 전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후 값</t>
    </r>
    <r>
      <rPr>
        <rFont val="Noto Sans"/>
        <color rgb="FF444444"/>
        <sz val="9.0"/>
      </rPr>
      <t xml:space="preserve">, </t>
    </r>
    <r>
      <rPr>
        <rFont val="Noto Sans CJK SC"/>
        <color rgb="FF444444"/>
        <sz val="9.0"/>
      </rPr>
      <t>승인자와 승인 시각을 구분해 조회할 수 있다</t>
    </r>
  </si>
  <si>
    <t>0.4</t>
  </si>
  <si>
    <t>2.3</t>
  </si>
  <si>
    <r>
      <rPr>
        <rFont val="Noto Sans CJK SC"/>
        <color rgb="FF222222"/>
        <sz val="10.0"/>
      </rPr>
      <t>화면 흐름 정의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장부 목록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상세</t>
    </r>
    <r>
      <rPr>
        <rFont val="Noto Sans"/>
        <color rgb="FF222222"/>
        <sz val="10.0"/>
      </rPr>
      <t xml:space="preserve">, F2 </t>
    </r>
    <r>
      <rPr>
        <rFont val="Noto Sans CJK SC"/>
        <color rgb="FF222222"/>
        <sz val="10.0"/>
      </rPr>
      <t>검토 패널</t>
    </r>
    <r>
      <rPr>
        <rFont val="Noto Sans"/>
        <color rgb="FF222222"/>
        <sz val="10.0"/>
      </rPr>
      <t xml:space="preserve">, F3 </t>
    </r>
    <r>
      <rPr>
        <rFont val="Noto Sans CJK SC"/>
        <color rgb="FF222222"/>
        <sz val="10.0"/>
      </rPr>
      <t>결과 패널</t>
    </r>
    <r>
      <rPr>
        <rFont val="Noto Sans"/>
        <color rgb="FF222222"/>
        <sz val="10.0"/>
      </rPr>
      <t>)</t>
    </r>
  </si>
  <si>
    <t>F1-01·F2-06·F3-07</t>
  </si>
  <si>
    <t>MVP-F2-08</t>
  </si>
  <si>
    <r>
      <rPr>
        <rFont val="Noto Sans CJK SC"/>
        <color rgb="FF222222"/>
        <sz val="9.0"/>
      </rPr>
      <t>필드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 xml:space="preserve">상담 로그 저장 — 승인 결과를 작성 주체 </t>
    </r>
    <r>
      <rPr>
        <rFont val="Noto Sans"/>
        <color rgb="FF222222"/>
        <sz val="9.0"/>
      </rPr>
      <t>F2</t>
    </r>
    <r>
      <rPr>
        <rFont val="Noto Sans CJK SC"/>
        <color rgb="FF222222"/>
        <sz val="9.0"/>
      </rPr>
      <t>로 기록</t>
    </r>
  </si>
  <si>
    <r>
      <rPr>
        <rFont val="Noto Sans CJK SC"/>
        <color rgb="FF444444"/>
        <sz val="9.0"/>
      </rPr>
      <t xml:space="preserve">저장 직후 목록 값과 상담 로그가 갱신되고 </t>
    </r>
    <r>
      <rPr>
        <rFont val="Noto Sans"/>
        <color rgb="FF444444"/>
        <sz val="9.0"/>
      </rPr>
      <t>F3</t>
    </r>
    <r>
      <rPr>
        <rFont val="Noto Sans CJK SC"/>
        <color rgb="FF444444"/>
        <sz val="9.0"/>
      </rPr>
      <t>가 읽을 수 있다</t>
    </r>
  </si>
  <si>
    <t>2.11</t>
  </si>
  <si>
    <t>0.5</t>
  </si>
  <si>
    <t>MVP-F2-09</t>
  </si>
  <si>
    <r>
      <rPr>
        <rFont val="Noto Sans CJK SC"/>
        <color rgb="FF222222"/>
        <sz val="10.0"/>
      </rPr>
      <t>평가 데이터 확보 경로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개인정보 처리 기준 수립</t>
    </r>
  </si>
  <si>
    <t>§5·F1-08·F2-09</t>
  </si>
  <si>
    <t>B</t>
  </si>
  <si>
    <r>
      <rPr>
        <rFont val="Noto Sans CJK SC"/>
        <color rgb="FF222222"/>
        <sz val="9.0"/>
      </rPr>
      <t>개인정보 주의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임시 데이터 삭제 — 주의 문구 확인</t>
    </r>
    <r>
      <rPr>
        <rFont val="Noto Sans"/>
        <color rgb="FF222222"/>
        <sz val="9.0"/>
      </rPr>
      <t xml:space="preserve">, RunPod </t>
    </r>
    <r>
      <rPr>
        <rFont val="Noto Sans CJK SC"/>
        <color rgb="FF222222"/>
        <sz val="9.0"/>
      </rPr>
      <t>임시 음성 삭제</t>
    </r>
  </si>
  <si>
    <t>확인 전 분석이 비활성화되고 종료 후 임시 파일 잔존이 점검된다</t>
  </si>
  <si>
    <t>2.1, 2.4, 4.2</t>
  </si>
  <si>
    <t>4.2</t>
  </si>
  <si>
    <t>M4</t>
  </si>
  <si>
    <t>MVP-F2-10</t>
  </si>
  <si>
    <r>
      <rPr>
        <rFont val="Noto Sans CJK SC"/>
        <color rgb="FF222222"/>
        <sz val="9.0"/>
      </rPr>
      <t>실패 복구 — 실패 단계부터 입력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중간 결과 유지 후 재시도</t>
    </r>
  </si>
  <si>
    <r>
      <rPr>
        <rFont val="Noto Sans CJK SC"/>
        <color rgb="FF444444"/>
        <sz val="9.0"/>
      </rPr>
      <t>오류 주입 후 재시도해도 중복 행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중복 로그가 생성되지 않는다</t>
    </r>
  </si>
  <si>
    <t>2.12</t>
  </si>
  <si>
    <t>0.6</t>
  </si>
  <si>
    <r>
      <rPr>
        <rFont val="Noto Sans CJK SC"/>
        <color rgb="FF222222"/>
        <sz val="10.0"/>
      </rPr>
      <t>기술 스택</t>
    </r>
    <r>
      <rPr>
        <rFont val="Noto Sans"/>
        <color rgb="FF222222"/>
        <sz val="10.0"/>
      </rPr>
      <t xml:space="preserve">(RunPod Whisper·LLM) </t>
    </r>
    <r>
      <rPr>
        <rFont val="Noto Sans CJK SC"/>
        <color rgb="FF222222"/>
        <sz val="10.0"/>
      </rPr>
      <t>결정</t>
    </r>
    <r>
      <rPr>
        <rFont val="Noto Sans"/>
        <color rgb="FF222222"/>
        <sz val="10.0"/>
      </rPr>
      <t xml:space="preserve">, </t>
    </r>
    <r>
      <rPr>
        <rFont val="Noto Sans CJK SC"/>
        <color rgb="FF222222"/>
        <sz val="10.0"/>
      </rPr>
      <t>저장소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개발 환경 세팅</t>
    </r>
  </si>
  <si>
    <t>F2-02</t>
  </si>
  <si>
    <t>D</t>
  </si>
  <si>
    <t>MVP-F3-01</t>
  </si>
  <si>
    <t>F3</t>
  </si>
  <si>
    <t>매물 대리 격리 — 매물 데이터와 해당 측 상담 로그만 읽어 판정</t>
  </si>
  <si>
    <t>실행 로그에서 손님 측 로그 접근이 없음을 확인한다</t>
  </si>
  <si>
    <t>2.7</t>
  </si>
  <si>
    <t>MVP-F3-02</t>
  </si>
  <si>
    <t>손님 대리 격리 — 손님 조건과 해당 측 상담 로그만 읽어 판정</t>
  </si>
  <si>
    <t>실행 로그에서 매물 측 로그 접근이 없음을 확인한다</t>
  </si>
  <si>
    <t>M0</t>
  </si>
  <si>
    <t>MVP-F3-03</t>
  </si>
  <si>
    <r>
      <rPr>
        <rFont val="Noto Sans"/>
        <b/>
        <color rgb="FF9C0006"/>
        <sz val="10.0"/>
      </rPr>
      <t xml:space="preserve">◆ M0  </t>
    </r>
    <r>
      <rPr>
        <rFont val="Noto Sans CJK SC"/>
        <b/>
        <color rgb="FF9C0006"/>
        <sz val="10.0"/>
      </rPr>
      <t>기획</t>
    </r>
    <r>
      <rPr>
        <rFont val="Noto Sans"/>
        <b/>
        <color rgb="FF9C0006"/>
        <sz val="10.0"/>
      </rPr>
      <t>·</t>
    </r>
    <r>
      <rPr>
        <rFont val="Noto Sans CJK SC"/>
        <b/>
        <color rgb="FF9C0006"/>
        <sz val="10.0"/>
      </rPr>
      <t xml:space="preserve">요구사항 확정 </t>
    </r>
    <r>
      <rPr>
        <rFont val="Noto Sans"/>
        <b/>
        <color rgb="FF9C0006"/>
        <sz val="10.0"/>
      </rPr>
      <t xml:space="preserve">(MVP </t>
    </r>
    <r>
      <rPr>
        <rFont val="Noto Sans CJK SC"/>
        <b/>
        <color rgb="FF9C0006"/>
        <sz val="10.0"/>
      </rPr>
      <t>범위</t>
    </r>
    <r>
      <rPr>
        <rFont val="Noto Sans"/>
        <b/>
        <color rgb="FF9C0006"/>
        <sz val="10.0"/>
      </rPr>
      <t>·</t>
    </r>
    <r>
      <rPr>
        <rFont val="Noto Sans CJK SC"/>
        <b/>
        <color rgb="FF9C0006"/>
        <sz val="10.0"/>
      </rPr>
      <t>완료 기준 승인</t>
    </r>
    <r>
      <rPr>
        <rFont val="Noto Sans"/>
        <b/>
        <color rgb="FF9C0006"/>
        <sz val="10.0"/>
      </rPr>
      <t>)</t>
    </r>
  </si>
  <si>
    <r>
      <rPr>
        <rFont val="Noto Sans CJK SC"/>
        <color rgb="FF222222"/>
        <sz val="9.0"/>
      </rPr>
      <t>포지션 카드 — 의향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가격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시급성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시점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양보 조건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접촉 상태 공통 규격 출력</t>
    </r>
  </si>
  <si>
    <t>판단 불가 항목은 불명으로 표시되고 근거 또는 추정 표식이 있다</t>
  </si>
  <si>
    <t>1.10, 2.8</t>
  </si>
  <si>
    <t>2.8</t>
  </si>
  <si>
    <t>MVP-F3-04</t>
  </si>
  <si>
    <r>
      <rPr>
        <rFont val="Noto Sans CJK SC"/>
        <color rgb="FF222222"/>
        <sz val="9.0"/>
      </rPr>
      <t xml:space="preserve">결정적 후보 추출 — 구조화 조건 </t>
    </r>
    <r>
      <rPr>
        <rFont val="Noto Sans"/>
        <color rgb="FF222222"/>
        <sz val="9.0"/>
      </rPr>
      <t xml:space="preserve">SQL </t>
    </r>
    <r>
      <rPr>
        <rFont val="Noto Sans CJK SC"/>
        <color rgb="FF222222"/>
        <sz val="9.0"/>
      </rPr>
      <t>추출</t>
    </r>
    <r>
      <rPr>
        <rFont val="Noto Sans"/>
        <color rgb="FF222222"/>
        <sz val="9.0"/>
      </rPr>
      <t xml:space="preserve">, </t>
    </r>
    <r>
      <rPr>
        <rFont val="Noto Sans CJK SC"/>
        <color rgb="FF222222"/>
        <sz val="9.0"/>
      </rPr>
      <t xml:space="preserve">후보 선정에 </t>
    </r>
    <r>
      <rPr>
        <rFont val="Noto Sans"/>
        <color rgb="FF222222"/>
        <sz val="9.0"/>
      </rPr>
      <t xml:space="preserve">LLM </t>
    </r>
    <r>
      <rPr>
        <rFont val="Noto Sans CJK SC"/>
        <color rgb="FF222222"/>
        <sz val="9.0"/>
      </rPr>
      <t>미사용</t>
    </r>
  </si>
  <si>
    <r>
      <rPr>
        <rFont val="Noto Sans CJK SC"/>
        <color rgb="FF444444"/>
        <sz val="9.0"/>
      </rPr>
      <t xml:space="preserve">고정 테스트 데이터에서 기대 후보 집합과 </t>
    </r>
    <r>
      <rPr>
        <rFont val="Noto Sans"/>
        <color rgb="FF444444"/>
        <sz val="9.0"/>
      </rPr>
      <t xml:space="preserve">100% </t>
    </r>
    <r>
      <rPr>
        <rFont val="Noto Sans CJK SC"/>
        <color rgb="FF444444"/>
        <sz val="9.0"/>
      </rPr>
      <t>일치한다</t>
    </r>
  </si>
  <si>
    <t>1.11, 2.9</t>
  </si>
  <si>
    <t>2.9</t>
  </si>
  <si>
    <t>MVP-F3-05</t>
  </si>
  <si>
    <t>1</t>
  </si>
  <si>
    <r>
      <rPr>
        <rFont val="Noto Sans"/>
        <b/>
        <color rgb="FF111111"/>
        <sz val="11.0"/>
      </rPr>
      <t>1</t>
    </r>
    <r>
      <rPr>
        <rFont val="Noto Sans CJK SC"/>
        <b/>
        <color rgb="FF111111"/>
        <sz val="11.0"/>
      </rPr>
      <t xml:space="preserve">단계 </t>
    </r>
    <r>
      <rPr>
        <rFont val="Noto Sans"/>
        <b/>
        <color rgb="FF111111"/>
        <sz val="11.0"/>
      </rPr>
      <t xml:space="preserve">· F1 </t>
    </r>
    <r>
      <rPr>
        <rFont val="Noto Sans CJK SC"/>
        <b/>
        <color rgb="FF111111"/>
        <sz val="11.0"/>
      </rPr>
      <t xml:space="preserve">최소 데이터 기반 구축 </t>
    </r>
    <r>
      <rPr>
        <rFont val="Noto Sans"/>
        <b/>
        <color rgb="FF111111"/>
        <sz val="11.0"/>
      </rPr>
      <t>(8/3~8/14, 1~2</t>
    </r>
    <r>
      <rPr>
        <rFont val="Noto Sans CJK SC"/>
        <b/>
        <color rgb="FF111111"/>
        <sz val="11.0"/>
      </rPr>
      <t>주차</t>
    </r>
    <r>
      <rPr>
        <rFont val="Noto Sans"/>
        <b/>
        <color rgb="FF111111"/>
        <sz val="11.0"/>
      </rPr>
      <t>)</t>
    </r>
  </si>
  <si>
    <r>
      <rPr>
        <rFont val="Noto Sans CJK SC"/>
        <color rgb="FF222222"/>
        <sz val="9.0"/>
      </rPr>
      <t xml:space="preserve">중개 판정 — 앵커 </t>
    </r>
    <r>
      <rPr>
        <rFont val="Noto Sans"/>
        <color rgb="FF222222"/>
        <sz val="9.0"/>
      </rPr>
      <t>1</t>
    </r>
    <r>
      <rPr>
        <rFont val="Noto Sans CJK SC"/>
        <color rgb="FF222222"/>
        <sz val="9.0"/>
      </rPr>
      <t>건</t>
    </r>
    <r>
      <rPr>
        <rFont val="Noto Sans"/>
        <color rgb="FF222222"/>
        <sz val="9.0"/>
      </rPr>
      <t>+</t>
    </r>
    <r>
      <rPr>
        <rFont val="Noto Sans CJK SC"/>
        <color rgb="FF222222"/>
        <sz val="9.0"/>
      </rPr>
      <t xml:space="preserve">후보 </t>
    </r>
    <r>
      <rPr>
        <rFont val="Noto Sans"/>
        <color rgb="FF222222"/>
        <sz val="9.0"/>
      </rPr>
      <t>N</t>
    </r>
    <r>
      <rPr>
        <rFont val="Noto Sans CJK SC"/>
        <color rgb="FF222222"/>
        <sz val="9.0"/>
      </rPr>
      <t>건 → 등급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순위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걸림돌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양보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다음 행동</t>
    </r>
  </si>
  <si>
    <r>
      <rPr>
        <rFont val="Noto Sans CJK SC"/>
        <color rgb="FF444444"/>
        <sz val="9.0"/>
      </rPr>
      <t>후보별 등급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순위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사유가 빠짐없이 반환되고 기각 사유가 기록된다</t>
    </r>
  </si>
  <si>
    <t>1.10, 3.1</t>
  </si>
  <si>
    <t>3.1</t>
  </si>
  <si>
    <t>MVP-F3-06</t>
  </si>
  <si>
    <r>
      <rPr>
        <rFont val="Noto Sans CJK SC"/>
        <color rgb="FF222222"/>
        <sz val="9.0"/>
      </rPr>
      <t>근거 추적 — 상담 로그 원문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 xml:space="preserve">로그 </t>
    </r>
    <r>
      <rPr>
        <rFont val="Noto Sans"/>
        <color rgb="FF222222"/>
        <sz val="9.0"/>
      </rPr>
      <t xml:space="preserve">ID </t>
    </r>
    <r>
      <rPr>
        <rFont val="Noto Sans CJK SC"/>
        <color rgb="FF222222"/>
        <sz val="9.0"/>
      </rPr>
      <t>연결</t>
    </r>
    <r>
      <rPr>
        <rFont val="Noto Sans"/>
        <color rgb="FF222222"/>
        <sz val="9.0"/>
      </rPr>
      <t xml:space="preserve">, </t>
    </r>
    <r>
      <rPr>
        <rFont val="Noto Sans CJK SC"/>
        <color rgb="FF222222"/>
        <sz val="9.0"/>
      </rPr>
      <t>근거 없으면 추정 표시</t>
    </r>
  </si>
  <si>
    <t>표본 평가에서 출력 근거를 원문 로그까지 추적할 수 있다</t>
  </si>
  <si>
    <t>3.2</t>
  </si>
  <si>
    <t>1.1</t>
  </si>
  <si>
    <t>MVP-F3-07</t>
  </si>
  <si>
    <r>
      <rPr>
        <rFont val="Noto Sans"/>
        <color rgb="FF222222"/>
        <sz val="10.0"/>
      </rPr>
      <t xml:space="preserve">F1 </t>
    </r>
    <r>
      <rPr>
        <rFont val="Noto Sans CJK SC"/>
        <color rgb="FF222222"/>
        <sz val="10.0"/>
      </rPr>
      <t>최소 데이터 스키마</t>
    </r>
    <r>
      <rPr>
        <rFont val="Noto Sans"/>
        <color rgb="FF222222"/>
        <sz val="10.0"/>
      </rPr>
      <t xml:space="preserve">·F2/F3 </t>
    </r>
    <r>
      <rPr>
        <rFont val="Noto Sans CJK SC"/>
        <color rgb="FF222222"/>
        <sz val="10.0"/>
      </rPr>
      <t>데이터 계약 설계</t>
    </r>
  </si>
  <si>
    <t>F1-03·F1-05</t>
  </si>
  <si>
    <r>
      <rPr>
        <rFont val="Noto Sans CJK SC"/>
        <color rgb="FF222222"/>
        <sz val="9.0"/>
      </rPr>
      <t>판정 결과 표시 — 같은 화면에 등급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순위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근거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걸림돌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양보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행동 표시</t>
    </r>
  </si>
  <si>
    <t>결과 패널에서 후보 비교와 근거 확인이 가능하다</t>
  </si>
  <si>
    <t>0.4, 3.4</t>
  </si>
  <si>
    <t>3.4</t>
  </si>
  <si>
    <t>MVP-F3-08</t>
  </si>
  <si>
    <r>
      <rPr>
        <rFont val="Noto Sans CJK SC"/>
        <color rgb="FF222222"/>
        <sz val="9.0"/>
      </rPr>
      <t>사용자 피드백 — 판정 오류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조건 불일치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이미 연락함 등 피드백 및 포지션 정정</t>
    </r>
  </si>
  <si>
    <r>
      <rPr>
        <rFont val="Noto Sans CJK SC"/>
        <color rgb="FF444444"/>
        <sz val="9.0"/>
      </rPr>
      <t>피드백과 정정값이 대상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판정 버전과 함께 저장된다</t>
    </r>
  </si>
  <si>
    <t>3.5</t>
  </si>
  <si>
    <t>MVP-F3-09</t>
  </si>
  <si>
    <r>
      <rPr>
        <rFont val="Noto Sans CJK SC"/>
        <color rgb="FF222222"/>
        <sz val="9.0"/>
      </rPr>
      <t xml:space="preserve">멀티 에이전트 비교 평가 — 동일 </t>
    </r>
    <r>
      <rPr>
        <rFont val="Noto Sans"/>
        <color rgb="FF222222"/>
        <sz val="9.0"/>
      </rPr>
      <t>20</t>
    </r>
    <r>
      <rPr>
        <rFont val="Noto Sans CJK SC"/>
        <color rgb="FF222222"/>
        <sz val="9.0"/>
      </rPr>
      <t>개 사례 블라인드 비교</t>
    </r>
  </si>
  <si>
    <r>
      <rPr>
        <rFont val="Noto Sans CJK SC"/>
        <color rgb="FF444444"/>
        <sz val="9.0"/>
      </rPr>
      <t>근거 적합성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걸림돌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양보 지점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종합 선호가 재현 가능한 보고서로 산출된다</t>
    </r>
  </si>
  <si>
    <t>3.3, 4.3</t>
  </si>
  <si>
    <t>3.3</t>
  </si>
  <si>
    <r>
      <rPr>
        <rFont val="Noto Sans"/>
        <color rgb="FF222222"/>
        <sz val="10.0"/>
      </rPr>
      <t xml:space="preserve">F1 </t>
    </r>
    <r>
      <rPr>
        <rFont val="Noto Sans CJK SC"/>
        <color rgb="FF222222"/>
        <sz val="10.0"/>
      </rPr>
      <t>매물장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구입장 목록 조회 및 단건 상세 화면 구현</t>
    </r>
  </si>
  <si>
    <t>F1-01</t>
  </si>
  <si>
    <t>MVP-F3-10</t>
  </si>
  <si>
    <r>
      <rPr>
        <rFont val="Noto Sans CJK SC"/>
        <color rgb="FF222222"/>
        <sz val="9.0"/>
      </rPr>
      <t>사용자 행동 기반 실행 — 저장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상세 조회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평가 실행에만 반응</t>
    </r>
    <r>
      <rPr>
        <rFont val="Noto Sans"/>
        <color rgb="FF222222"/>
        <sz val="9.0"/>
      </rPr>
      <t xml:space="preserve">, </t>
    </r>
    <r>
      <rPr>
        <rFont val="Noto Sans CJK SC"/>
        <color rgb="FF222222"/>
        <sz val="9.0"/>
      </rPr>
      <t>정기 스케줄 없음</t>
    </r>
  </si>
  <si>
    <t>사용자 이벤트 없이 자동 판정이 실행되지 않는다</t>
  </si>
  <si>
    <t>3.10</t>
  </si>
  <si>
    <t>MVP-F3-11</t>
  </si>
  <si>
    <r>
      <rPr>
        <rFont val="Noto Sans CJK SC"/>
        <color rgb="FF222222"/>
        <sz val="9.0"/>
      </rPr>
      <t>버전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 xml:space="preserve">중복 실행 관리 — 대상 </t>
    </r>
    <r>
      <rPr>
        <rFont val="Noto Sans"/>
        <color rgb="FF222222"/>
        <sz val="9.0"/>
      </rPr>
      <t>ID·</t>
    </r>
    <r>
      <rPr>
        <rFont val="Noto Sans CJK SC"/>
        <color rgb="FF222222"/>
        <sz val="9.0"/>
      </rPr>
      <t>생성 시각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입력 버전 기록 및 재사용</t>
    </r>
  </si>
  <si>
    <t>동일 입력의 반복 실행이 구분되고 중복 호출이 식별된다</t>
  </si>
  <si>
    <t>3.11</t>
  </si>
  <si>
    <t>MVP-F3-12</t>
  </si>
  <si>
    <r>
      <rPr>
        <rFont val="Noto Sans CJK SC"/>
        <color rgb="FF222222"/>
        <sz val="9.0"/>
      </rPr>
      <t>실행 로그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장애 격리 — 모델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도구 호출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소요 시간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오류 기록</t>
    </r>
  </si>
  <si>
    <r>
      <rPr>
        <rFont val="Noto Sans CJK SC"/>
        <color rgb="FF444444"/>
        <sz val="9.0"/>
      </rPr>
      <t xml:space="preserve">실행 경로를 추적할 수 있고 장애 주입 후 </t>
    </r>
    <r>
      <rPr>
        <rFont val="Noto Sans"/>
        <color rgb="FF444444"/>
        <sz val="9.0"/>
      </rPr>
      <t>F1</t>
    </r>
    <r>
      <rPr>
        <rFont val="Noto Sans CJK SC"/>
        <color rgb="FF444444"/>
        <sz val="9.0"/>
      </rPr>
      <t>이 정상 동작한다</t>
    </r>
  </si>
  <si>
    <t>1.6, 3.12</t>
  </si>
  <si>
    <r>
      <rPr>
        <rFont val="Noto Sans"/>
        <color rgb="FF222222"/>
        <sz val="10.0"/>
      </rPr>
      <t xml:space="preserve">F1 </t>
    </r>
    <r>
      <rPr>
        <rFont val="Noto Sans CJK SC"/>
        <color rgb="FF222222"/>
        <sz val="10.0"/>
      </rPr>
      <t>행 추가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상세 입력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단건 저장 화면 구현</t>
    </r>
  </si>
  <si>
    <r>
      <rPr>
        <rFont val="Roboto"/>
        <b/>
        <color rgb="FF222222"/>
        <sz val="9.0"/>
      </rPr>
      <t xml:space="preserve">§6 </t>
    </r>
    <r>
      <rPr>
        <rFont val="Noto Sans CJK SC"/>
        <b/>
        <color rgb="FF222222"/>
        <sz val="9.0"/>
      </rPr>
      <t>종단 간</t>
    </r>
  </si>
  <si>
    <t>F1-02</t>
  </si>
  <si>
    <t>평가</t>
  </si>
  <si>
    <t>합격 기준</t>
  </si>
  <si>
    <t>업로드 → 승인 저장 → 후보 추출 → 판정 결과 표시</t>
  </si>
  <si>
    <r>
      <rPr>
        <rFont val="Noto Sans CJK SC"/>
        <color rgb="FF444444"/>
        <sz val="9.0"/>
      </rPr>
      <t xml:space="preserve">고정 시나리오 </t>
    </r>
    <r>
      <rPr>
        <rFont val="Noto Sans"/>
        <color rgb="FF444444"/>
        <sz val="9.0"/>
      </rPr>
      <t>5</t>
    </r>
    <r>
      <rPr>
        <rFont val="Noto Sans CJK SC"/>
        <color rgb="FF444444"/>
        <sz val="9.0"/>
      </rPr>
      <t>회 연속 성공</t>
    </r>
    <r>
      <rPr>
        <rFont val="Noto Sans"/>
        <color rgb="FF444444"/>
        <sz val="9.0"/>
      </rPr>
      <t xml:space="preserve">, </t>
    </r>
    <r>
      <rPr>
        <rFont val="Noto Sans CJK SC"/>
        <color rgb="FF444444"/>
        <sz val="9.0"/>
      </rPr>
      <t>중복 행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 xml:space="preserve">로그 </t>
    </r>
    <r>
      <rPr>
        <rFont val="Noto Sans"/>
        <color rgb="FF444444"/>
        <sz val="9.0"/>
      </rPr>
      <t>0</t>
    </r>
    <r>
      <rPr>
        <rFont val="Noto Sans CJK SC"/>
        <color rgb="FF444444"/>
        <sz val="9.0"/>
      </rPr>
      <t>건</t>
    </r>
  </si>
  <si>
    <t>4.1</t>
  </si>
  <si>
    <r>
      <rPr>
        <rFont val="Roboto"/>
        <b/>
        <color rgb="FF222222"/>
        <sz val="9.0"/>
      </rPr>
      <t xml:space="preserve">§6 F2 </t>
    </r>
    <r>
      <rPr>
        <rFont val="Noto Sans CJK SC"/>
        <b/>
        <color rgb="FF222222"/>
        <sz val="9.0"/>
      </rPr>
      <t>분류</t>
    </r>
  </si>
  <si>
    <r>
      <rPr>
        <rFont val="Noto Sans CJK SC"/>
        <color rgb="FF222222"/>
        <sz val="9.0"/>
      </rPr>
      <t xml:space="preserve">비식별 평가 데이터 </t>
    </r>
    <r>
      <rPr>
        <rFont val="Noto Sans"/>
        <color rgb="FF222222"/>
        <sz val="9.0"/>
      </rPr>
      <t>1,000</t>
    </r>
    <r>
      <rPr>
        <rFont val="Noto Sans CJK SC"/>
        <color rgb="FF222222"/>
        <sz val="9.0"/>
      </rPr>
      <t xml:space="preserve">건의 상담 유형 </t>
    </r>
    <r>
      <rPr>
        <rFont val="Noto Sans"/>
        <color rgb="FF222222"/>
        <sz val="9.0"/>
      </rPr>
      <t>Macro-F1</t>
    </r>
  </si>
  <si>
    <r>
      <rPr>
        <rFont val="Noto Sans"/>
        <color rgb="FF444444"/>
        <sz val="9.0"/>
      </rPr>
      <t xml:space="preserve">0.85 </t>
    </r>
    <r>
      <rPr>
        <rFont val="Noto Sans CJK SC"/>
        <color rgb="FF444444"/>
        <sz val="9.0"/>
      </rPr>
      <t>이상</t>
    </r>
  </si>
  <si>
    <t>3.8</t>
  </si>
  <si>
    <r>
      <rPr>
        <rFont val="Noto Sans"/>
        <color rgb="FF222222"/>
        <sz val="10.0"/>
      </rPr>
      <t xml:space="preserve">F1 </t>
    </r>
    <r>
      <rPr>
        <rFont val="Noto Sans CJK SC"/>
        <color rgb="FF222222"/>
        <sz val="10.0"/>
      </rPr>
      <t xml:space="preserve">백엔드 </t>
    </r>
    <r>
      <rPr>
        <rFont val="Noto Sans"/>
        <color rgb="FF222222"/>
        <sz val="10.0"/>
      </rPr>
      <t xml:space="preserve">API </t>
    </r>
    <r>
      <rPr>
        <rFont val="Noto Sans CJK SC"/>
        <color rgb="FF222222"/>
        <sz val="10.0"/>
      </rPr>
      <t>스캐폴드</t>
    </r>
    <r>
      <rPr>
        <rFont val="Noto Sans"/>
        <color rgb="FF222222"/>
        <sz val="10.0"/>
      </rPr>
      <t>·DB(</t>
    </r>
    <r>
      <rPr>
        <rFont val="Noto Sans CJK SC"/>
        <color rgb="FF222222"/>
        <sz val="10.0"/>
      </rPr>
      <t>매물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손님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상담 로그</t>
    </r>
    <r>
      <rPr>
        <rFont val="Noto Sans"/>
        <color rgb="FF222222"/>
        <sz val="10.0"/>
      </rPr>
      <t xml:space="preserve">) </t>
    </r>
    <r>
      <rPr>
        <rFont val="Noto Sans CJK SC"/>
        <color rgb="FF222222"/>
        <sz val="10.0"/>
      </rPr>
      <t>구축</t>
    </r>
  </si>
  <si>
    <r>
      <rPr>
        <rFont val="Roboto"/>
        <b/>
        <color rgb="FF222222"/>
        <sz val="9.0"/>
      </rPr>
      <t xml:space="preserve">§6 F2 </t>
    </r>
    <r>
      <rPr>
        <rFont val="Noto Sans CJK SC"/>
        <b/>
        <color rgb="FF222222"/>
        <sz val="9.0"/>
      </rPr>
      <t>추출</t>
    </r>
  </si>
  <si>
    <t>F1-01·F1-02·F1-03</t>
  </si>
  <si>
    <r>
      <rPr>
        <rFont val="Noto Sans CJK SC"/>
        <color rgb="FF222222"/>
        <sz val="9.0"/>
      </rPr>
      <t xml:space="preserve">핵심 필드 </t>
    </r>
    <r>
      <rPr>
        <rFont val="Noto Sans"/>
        <color rgb="FF222222"/>
        <sz val="9.0"/>
      </rPr>
      <t xml:space="preserve">Micro-F1 </t>
    </r>
    <r>
      <rPr>
        <rFont val="Noto Sans CJK SC"/>
        <color rgb="FF222222"/>
        <sz val="9.0"/>
      </rPr>
      <t>및 근거 없는 값 생성률</t>
    </r>
  </si>
  <si>
    <r>
      <rPr>
        <rFont val="Noto Sans"/>
        <color rgb="FF444444"/>
        <sz val="9.0"/>
      </rPr>
      <t xml:space="preserve">Micro-F1 0.80 </t>
    </r>
    <r>
      <rPr>
        <rFont val="Noto Sans CJK SC"/>
        <color rgb="FF444444"/>
        <sz val="9.0"/>
      </rPr>
      <t>이상</t>
    </r>
    <r>
      <rPr>
        <rFont val="Noto Sans"/>
        <color rgb="FF444444"/>
        <sz val="9.0"/>
      </rPr>
      <t xml:space="preserve">, </t>
    </r>
    <r>
      <rPr>
        <rFont val="Noto Sans CJK SC"/>
        <color rgb="FF444444"/>
        <sz val="9.0"/>
      </rPr>
      <t xml:space="preserve">무근거 생성률 </t>
    </r>
    <r>
      <rPr>
        <rFont val="Noto Sans"/>
        <color rgb="FF444444"/>
        <sz val="9.0"/>
      </rPr>
      <t xml:space="preserve">2% </t>
    </r>
    <r>
      <rPr>
        <rFont val="Noto Sans CJK SC"/>
        <color rgb="FF444444"/>
        <sz val="9.0"/>
      </rPr>
      <t>이하</t>
    </r>
  </si>
  <si>
    <r>
      <rPr>
        <rFont val="Roboto"/>
        <b/>
        <color rgb="FF222222"/>
        <sz val="9.0"/>
      </rPr>
      <t xml:space="preserve">§6 F3 </t>
    </r>
    <r>
      <rPr>
        <rFont val="Noto Sans CJK SC"/>
        <b/>
        <color rgb="FF222222"/>
        <sz val="9.0"/>
      </rPr>
      <t>후보</t>
    </r>
  </si>
  <si>
    <r>
      <rPr>
        <rFont val="Noto Sans CJK SC"/>
        <color rgb="FF222222"/>
        <sz val="9.0"/>
      </rPr>
      <t xml:space="preserve">고정 </t>
    </r>
    <r>
      <rPr>
        <rFont val="Noto Sans"/>
        <color rgb="FF222222"/>
        <sz val="9.0"/>
      </rPr>
      <t xml:space="preserve">SQL </t>
    </r>
    <r>
      <rPr>
        <rFont val="Noto Sans CJK SC"/>
        <color rgb="FF222222"/>
        <sz val="9.0"/>
      </rPr>
      <t>테스트의 기대 후보 집합 일치율</t>
    </r>
  </si>
  <si>
    <t>100%</t>
  </si>
  <si>
    <t>2.9, 4.3</t>
  </si>
  <si>
    <t>4.3</t>
  </si>
  <si>
    <r>
      <rPr>
        <rFont val="Roboto"/>
        <b/>
        <color rgb="FF222222"/>
        <sz val="9.0"/>
      </rPr>
      <t xml:space="preserve">§6 F3 </t>
    </r>
    <r>
      <rPr>
        <rFont val="Noto Sans CJK SC"/>
        <b/>
        <color rgb="FF222222"/>
        <sz val="9.0"/>
      </rPr>
      <t>근거</t>
    </r>
  </si>
  <si>
    <r>
      <rPr>
        <rFont val="Noto Sans"/>
        <color rgb="FF222222"/>
        <sz val="9.0"/>
      </rPr>
      <t>20</t>
    </r>
    <r>
      <rPr>
        <rFont val="Noto Sans CJK SC"/>
        <color rgb="FF222222"/>
        <sz val="9.0"/>
      </rPr>
      <t>개 사례의 판정 근거가 원문을 정확히 지지하는 비율</t>
    </r>
  </si>
  <si>
    <r>
      <rPr>
        <rFont val="Noto Sans"/>
        <color rgb="FF444444"/>
        <sz val="9.0"/>
      </rPr>
      <t xml:space="preserve">90% </t>
    </r>
    <r>
      <rPr>
        <rFont val="Noto Sans CJK SC"/>
        <color rgb="FF444444"/>
        <sz val="9.0"/>
      </rPr>
      <t>이상</t>
    </r>
    <r>
      <rPr>
        <rFont val="Noto Sans"/>
        <color rgb="FF444444"/>
        <sz val="9.0"/>
      </rPr>
      <t xml:space="preserve">, </t>
    </r>
    <r>
      <rPr>
        <rFont val="Noto Sans CJK SC"/>
        <color rgb="FF444444"/>
        <sz val="9.0"/>
      </rPr>
      <t xml:space="preserve">중대 사실 왜곡 </t>
    </r>
    <r>
      <rPr>
        <rFont val="Noto Sans"/>
        <color rgb="FF444444"/>
        <sz val="9.0"/>
      </rPr>
      <t>0</t>
    </r>
    <r>
      <rPr>
        <rFont val="Noto Sans CJK SC"/>
        <color rgb="FF444444"/>
        <sz val="9.0"/>
      </rPr>
      <t>건</t>
    </r>
  </si>
  <si>
    <t>3.2, 4.3</t>
  </si>
  <si>
    <r>
      <rPr>
        <rFont val="Roboto"/>
        <b/>
        <color rgb="FF222222"/>
        <sz val="9.0"/>
      </rPr>
      <t xml:space="preserve">§6 </t>
    </r>
    <r>
      <rPr>
        <rFont val="Noto Sans CJK SC"/>
        <b/>
        <color rgb="FF222222"/>
        <sz val="9.0"/>
      </rPr>
      <t>멀티 에이전트</t>
    </r>
  </si>
  <si>
    <r>
      <rPr>
        <rFont val="Noto Sans CJK SC"/>
        <color rgb="FF222222"/>
        <sz val="10.0"/>
      </rPr>
      <t>상담 로그 추가 전용 저장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작성 주체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사람</t>
    </r>
    <r>
      <rPr>
        <rFont val="Noto Sans"/>
        <color rgb="FF222222"/>
        <sz val="10.0"/>
      </rPr>
      <t xml:space="preserve">/F2/F3) </t>
    </r>
    <r>
      <rPr>
        <rFont val="Noto Sans CJK SC"/>
        <color rgb="FF222222"/>
        <sz val="10.0"/>
      </rPr>
      <t>기록</t>
    </r>
  </si>
  <si>
    <t>F1-04·F1-06</t>
  </si>
  <si>
    <r>
      <rPr>
        <rFont val="Noto Sans"/>
        <color rgb="FF222222"/>
        <sz val="9.0"/>
      </rPr>
      <t>20</t>
    </r>
    <r>
      <rPr>
        <rFont val="Noto Sans CJK SC"/>
        <color rgb="FF222222"/>
        <sz val="9.0"/>
      </rPr>
      <t>개 동일 사례 블라인드 비교에서 종합 선호</t>
    </r>
  </si>
  <si>
    <r>
      <rPr>
        <rFont val="Noto Sans CJK SC"/>
        <color rgb="FF444444"/>
        <sz val="9.0"/>
      </rPr>
      <t xml:space="preserve">멀티 에이전트 선호 </t>
    </r>
    <r>
      <rPr>
        <rFont val="Noto Sans"/>
        <color rgb="FF444444"/>
        <sz val="9.0"/>
      </rPr>
      <t xml:space="preserve">60% </t>
    </r>
    <r>
      <rPr>
        <rFont val="Noto Sans CJK SC"/>
        <color rgb="FF444444"/>
        <sz val="9.0"/>
      </rPr>
      <t>이상</t>
    </r>
  </si>
  <si>
    <r>
      <rPr>
        <rFont val="Roboto"/>
        <b/>
        <color rgb="FF222222"/>
        <sz val="9.0"/>
      </rPr>
      <t xml:space="preserve">§6 </t>
    </r>
    <r>
      <rPr>
        <rFont val="Noto Sans CJK SC"/>
        <b/>
        <color rgb="FF222222"/>
        <sz val="9.0"/>
      </rPr>
      <t>장애 격리</t>
    </r>
  </si>
  <si>
    <r>
      <rPr>
        <rFont val="Noto Sans"/>
        <color rgb="FF222222"/>
        <sz val="9.0"/>
      </rPr>
      <t xml:space="preserve">F2/F3 </t>
    </r>
    <r>
      <rPr>
        <rFont val="Noto Sans CJK SC"/>
        <color rgb="FF222222"/>
        <sz val="9.0"/>
      </rPr>
      <t xml:space="preserve">장애 주입 후 </t>
    </r>
    <r>
      <rPr>
        <rFont val="Noto Sans"/>
        <color rgb="FF222222"/>
        <sz val="9.0"/>
      </rPr>
      <t xml:space="preserve">F1 </t>
    </r>
    <r>
      <rPr>
        <rFont val="Noto Sans CJK SC"/>
        <color rgb="FF222222"/>
        <sz val="9.0"/>
      </rPr>
      <t>조회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수기 저장</t>
    </r>
  </si>
  <si>
    <t>핵심 기능 성공</t>
  </si>
  <si>
    <r>
      <rPr>
        <rFont val="Roboto"/>
        <b/>
        <color rgb="FF222222"/>
        <sz val="9.0"/>
      </rPr>
      <t xml:space="preserve">§5 </t>
    </r>
    <r>
      <rPr>
        <rFont val="Noto Sans CJK SC"/>
        <b/>
        <color rgb="FF222222"/>
        <sz val="9.0"/>
      </rPr>
      <t>비기능</t>
    </r>
  </si>
  <si>
    <t>비기능</t>
  </si>
  <si>
    <t>필수</t>
  </si>
  <si>
    <r>
      <rPr>
        <rFont val="Noto Sans CJK SC"/>
        <color rgb="FF222222"/>
        <sz val="9.0"/>
      </rPr>
      <t>개인정보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승인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근거성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장애 격리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재현성</t>
    </r>
    <r>
      <rPr>
        <rFont val="Noto Sans"/>
        <color rgb="FF222222"/>
        <sz val="9.0"/>
      </rPr>
      <t>·</t>
    </r>
    <r>
      <rPr>
        <rFont val="Noto Sans CJK SC"/>
        <color rgb="FF222222"/>
        <sz val="9.0"/>
      </rPr>
      <t>한국어 표기</t>
    </r>
  </si>
  <si>
    <t>1.6</t>
  </si>
  <si>
    <r>
      <rPr>
        <rFont val="Noto Sans CJK SC"/>
        <color rgb="FF444444"/>
        <sz val="9.0"/>
      </rPr>
      <t xml:space="preserve">요구사항 정의서 </t>
    </r>
    <r>
      <rPr>
        <rFont val="Noto Sans"/>
        <color rgb="FF444444"/>
        <sz val="9.0"/>
      </rPr>
      <t>5</t>
    </r>
    <r>
      <rPr>
        <rFont val="Noto Sans CJK SC"/>
        <color rgb="FF444444"/>
        <sz val="9.0"/>
      </rPr>
      <t xml:space="preserve">장 </t>
    </r>
    <r>
      <rPr>
        <rFont val="Noto Sans"/>
        <color rgb="FF444444"/>
        <sz val="9.0"/>
      </rPr>
      <t>6</t>
    </r>
    <r>
      <rPr>
        <rFont val="Noto Sans CJK SC"/>
        <color rgb="FF444444"/>
        <sz val="9.0"/>
      </rPr>
      <t>개 원칙을 전 기능에서 준수</t>
    </r>
  </si>
  <si>
    <t>0.5, 3.6, 3.9, 4.2</t>
  </si>
  <si>
    <r>
      <rPr>
        <rFont val="Noto Sans CJK SC"/>
        <color rgb="FF222222"/>
        <sz val="10.0"/>
      </rPr>
      <t>개발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배포 환경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컨테이너</t>
    </r>
    <r>
      <rPr>
        <rFont val="Noto Sans"/>
        <color rgb="FF222222"/>
        <sz val="10.0"/>
      </rPr>
      <t xml:space="preserve">·CI) </t>
    </r>
    <r>
      <rPr>
        <rFont val="Noto Sans CJK SC"/>
        <color rgb="FF222222"/>
        <sz val="10.0"/>
      </rPr>
      <t>및 실행 로그 수집 기반 세팅</t>
    </r>
  </si>
  <si>
    <t>F3-12</t>
  </si>
  <si>
    <r>
      <rPr>
        <rFont val="Roboto"/>
        <b/>
        <color rgb="FF222222"/>
        <sz val="9.0"/>
      </rPr>
      <t xml:space="preserve">§4 </t>
    </r>
    <r>
      <rPr>
        <rFont val="Noto Sans CJK SC"/>
        <b/>
        <color rgb="FF222222"/>
        <sz val="9.0"/>
      </rPr>
      <t>책임 경계</t>
    </r>
  </si>
  <si>
    <r>
      <rPr>
        <rFont val="Noto Sans"/>
        <color rgb="FF222222"/>
        <sz val="9.0"/>
      </rPr>
      <t xml:space="preserve">F2·F3 </t>
    </r>
    <r>
      <rPr>
        <rFont val="Noto Sans CJK SC"/>
        <color rgb="FF222222"/>
        <sz val="9.0"/>
      </rPr>
      <t>직접 호출 금지</t>
    </r>
    <r>
      <rPr>
        <rFont val="Noto Sans"/>
        <color rgb="FF222222"/>
        <sz val="9.0"/>
      </rPr>
      <t>, F1</t>
    </r>
    <r>
      <rPr>
        <rFont val="Noto Sans CJK SC"/>
        <color rgb="FF222222"/>
        <sz val="9.0"/>
      </rPr>
      <t>이 확정 데이터 단일 원천</t>
    </r>
  </si>
  <si>
    <r>
      <rPr>
        <rFont val="Noto Sans"/>
        <color rgb="FF444444"/>
        <sz val="9.0"/>
      </rPr>
      <t>F3</t>
    </r>
    <r>
      <rPr>
        <rFont val="Noto Sans CJK SC"/>
        <color rgb="FF444444"/>
        <sz val="9.0"/>
      </rPr>
      <t xml:space="preserve">는 </t>
    </r>
    <r>
      <rPr>
        <rFont val="Noto Sans"/>
        <color rgb="FF444444"/>
        <sz val="9.0"/>
      </rPr>
      <t>F1</t>
    </r>
    <r>
      <rPr>
        <rFont val="Noto Sans CJK SC"/>
        <color rgb="FF444444"/>
        <sz val="9.0"/>
      </rPr>
      <t>의 정의된 인터페이스로만 데이터를 읽는다</t>
    </r>
  </si>
  <si>
    <t>0.3, 2.10</t>
  </si>
  <si>
    <t>커버리지</t>
  </si>
  <si>
    <t>1.7</t>
  </si>
  <si>
    <r>
      <rPr>
        <rFont val="Noto Sans CJK SC"/>
        <color rgb="FF222222"/>
        <sz val="10.0"/>
      </rPr>
      <t>개인정보 제거 시드 장부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 xml:space="preserve">상담 로그 데이터 </t>
    </r>
    <r>
      <rPr>
        <rFont val="Noto Sans"/>
        <color rgb="FF222222"/>
        <sz val="10.0"/>
      </rPr>
      <t xml:space="preserve">v1 </t>
    </r>
    <r>
      <rPr>
        <rFont val="Noto Sans CJK SC"/>
        <color rgb="FF222222"/>
        <sz val="10.0"/>
      </rPr>
      <t>구축</t>
    </r>
  </si>
  <si>
    <t>F1-08·F1-06</t>
  </si>
  <si>
    <r>
      <rPr>
        <rFont val="Noto Sans CJK SC"/>
        <color rgb="FF222222"/>
        <sz val="10.0"/>
      </rPr>
      <t>음성메모 수집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 xml:space="preserve">비식별 처리 및 </t>
    </r>
    <r>
      <rPr>
        <rFont val="Noto Sans"/>
        <color rgb="FF222222"/>
        <sz val="10.0"/>
      </rPr>
      <t xml:space="preserve">F2 </t>
    </r>
    <r>
      <rPr>
        <rFont val="Noto Sans CJK SC"/>
        <color rgb="FF222222"/>
        <sz val="10.0"/>
      </rPr>
      <t xml:space="preserve">평가 음성셋 </t>
    </r>
    <r>
      <rPr>
        <rFont val="Noto Sans"/>
        <color rgb="FF222222"/>
        <sz val="10.0"/>
      </rPr>
      <t xml:space="preserve">v1 </t>
    </r>
    <r>
      <rPr>
        <rFont val="Noto Sans CJK SC"/>
        <color rgb="FF222222"/>
        <sz val="10.0"/>
      </rPr>
      <t>구축</t>
    </r>
  </si>
  <si>
    <t>F1-08·F2-01</t>
  </si>
  <si>
    <t>1.9</t>
  </si>
  <si>
    <r>
      <rPr>
        <rFont val="Noto Sans"/>
        <color rgb="FF222222"/>
        <sz val="10.0"/>
      </rPr>
      <t xml:space="preserve">F2 </t>
    </r>
    <r>
      <rPr>
        <rFont val="Noto Sans CJK SC"/>
        <color rgb="FF222222"/>
        <sz val="10.0"/>
      </rPr>
      <t>상담 유형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 xml:space="preserve">핵심 필드 라벨 규격 및 골드 정답셋 </t>
    </r>
    <r>
      <rPr>
        <rFont val="Noto Sans"/>
        <color rgb="FF222222"/>
        <sz val="10.0"/>
      </rPr>
      <t>v1(1,000</t>
    </r>
    <r>
      <rPr>
        <rFont val="Noto Sans CJK SC"/>
        <color rgb="FF222222"/>
        <sz val="10.0"/>
      </rPr>
      <t>건</t>
    </r>
    <r>
      <rPr>
        <rFont val="Noto Sans"/>
        <color rgb="FF222222"/>
        <sz val="10.0"/>
      </rPr>
      <t>)</t>
    </r>
  </si>
  <si>
    <t>F2-03·F2-04</t>
  </si>
  <si>
    <t>1.10</t>
  </si>
  <si>
    <r>
      <rPr>
        <rFont val="Noto Sans"/>
        <color rgb="FF222222"/>
        <sz val="10.0"/>
      </rPr>
      <t xml:space="preserve">F3 </t>
    </r>
    <r>
      <rPr>
        <rFont val="Noto Sans CJK SC"/>
        <color rgb="FF222222"/>
        <sz val="10.0"/>
      </rPr>
      <t>포지션 카드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중개 판정 출력 공통 규격 정의</t>
    </r>
  </si>
  <si>
    <t>F3-03·F3-05</t>
  </si>
  <si>
    <t>1.11</t>
  </si>
  <si>
    <r>
      <rPr>
        <rFont val="Noto Sans"/>
        <color rgb="FF222222"/>
        <sz val="10.0"/>
      </rPr>
      <t xml:space="preserve">F3 </t>
    </r>
    <r>
      <rPr>
        <rFont val="Noto Sans CJK SC"/>
        <color rgb="FF222222"/>
        <sz val="10.0"/>
      </rPr>
      <t>후보 추출 조건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고정 테스트 데이터셋 정의</t>
    </r>
  </si>
  <si>
    <t>F3-04</t>
  </si>
  <si>
    <r>
      <rPr>
        <rFont val="Noto Sans"/>
        <b/>
        <color rgb="FF9C0006"/>
        <sz val="10.0"/>
      </rPr>
      <t xml:space="preserve">◆ M1  F1 </t>
    </r>
    <r>
      <rPr>
        <rFont val="Noto Sans CJK SC"/>
        <b/>
        <color rgb="FF9C0006"/>
        <sz val="10.0"/>
      </rPr>
      <t xml:space="preserve">최소 기반 동작 </t>
    </r>
    <r>
      <rPr>
        <rFont val="Noto Sans"/>
        <b/>
        <color rgb="FF9C0006"/>
        <sz val="10.0"/>
      </rPr>
      <t xml:space="preserve">+ </t>
    </r>
    <r>
      <rPr>
        <rFont val="Noto Sans CJK SC"/>
        <b/>
        <color rgb="FF9C0006"/>
        <sz val="10.0"/>
      </rPr>
      <t>시드</t>
    </r>
    <r>
      <rPr>
        <rFont val="Noto Sans"/>
        <b/>
        <color rgb="FF9C0006"/>
        <sz val="10.0"/>
      </rPr>
      <t>/</t>
    </r>
    <r>
      <rPr>
        <rFont val="Noto Sans CJK SC"/>
        <b/>
        <color rgb="FF9C0006"/>
        <sz val="10.0"/>
      </rPr>
      <t xml:space="preserve">골드셋 </t>
    </r>
    <r>
      <rPr>
        <rFont val="Noto Sans"/>
        <b/>
        <color rgb="FF9C0006"/>
        <sz val="10.0"/>
      </rPr>
      <t xml:space="preserve">v1 + </t>
    </r>
    <r>
      <rPr>
        <rFont val="Noto Sans CJK SC"/>
        <b/>
        <color rgb="FF9C0006"/>
        <sz val="10.0"/>
      </rPr>
      <t>데이터 계약 확정</t>
    </r>
  </si>
  <si>
    <t>2</t>
  </si>
  <si>
    <r>
      <rPr>
        <rFont val="Noto Sans"/>
        <b/>
        <color rgb="FF111111"/>
        <sz val="11.0"/>
      </rPr>
      <t>2</t>
    </r>
    <r>
      <rPr>
        <rFont val="Noto Sans CJK SC"/>
        <b/>
        <color rgb="FF111111"/>
        <sz val="11.0"/>
      </rPr>
      <t xml:space="preserve">단계 </t>
    </r>
    <r>
      <rPr>
        <rFont val="Noto Sans"/>
        <b/>
        <color rgb="FF111111"/>
        <sz val="11.0"/>
      </rPr>
      <t xml:space="preserve">· F2 </t>
    </r>
    <r>
      <rPr>
        <rFont val="Noto Sans CJK SC"/>
        <b/>
        <color rgb="FF111111"/>
        <sz val="11.0"/>
      </rPr>
      <t>파이프라인</t>
    </r>
    <r>
      <rPr>
        <rFont val="Noto Sans"/>
        <b/>
        <color rgb="FF111111"/>
        <sz val="11.0"/>
      </rPr>
      <t xml:space="preserve">·F3 </t>
    </r>
    <r>
      <rPr>
        <rFont val="Noto Sans CJK SC"/>
        <b/>
        <color rgb="FF111111"/>
        <sz val="11.0"/>
      </rPr>
      <t xml:space="preserve">대리 구현 </t>
    </r>
    <r>
      <rPr>
        <rFont val="Noto Sans"/>
        <b/>
        <color rgb="FF111111"/>
        <sz val="11.0"/>
      </rPr>
      <t>(8/17~8/28, 3~4</t>
    </r>
    <r>
      <rPr>
        <rFont val="Noto Sans CJK SC"/>
        <b/>
        <color rgb="FF111111"/>
        <sz val="11.0"/>
      </rPr>
      <t>주차</t>
    </r>
    <r>
      <rPr>
        <rFont val="Noto Sans"/>
        <b/>
        <color rgb="FF111111"/>
        <sz val="11.0"/>
      </rPr>
      <t>)</t>
    </r>
  </si>
  <si>
    <r>
      <rPr>
        <rFont val="Noto Sans"/>
        <color rgb="FF222222"/>
        <sz val="10.0"/>
      </rPr>
      <t xml:space="preserve">F2 </t>
    </r>
    <r>
      <rPr>
        <rFont val="Noto Sans CJK SC"/>
        <color rgb="FF222222"/>
        <sz val="10.0"/>
      </rPr>
      <t>음성메모 업로드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형식 검증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 xml:space="preserve">개인정보 주의 확인 </t>
    </r>
    <r>
      <rPr>
        <rFont val="Noto Sans"/>
        <color rgb="FF222222"/>
        <sz val="10.0"/>
      </rPr>
      <t>UI</t>
    </r>
  </si>
  <si>
    <t>F2-01·F2-09</t>
  </si>
  <si>
    <r>
      <rPr>
        <rFont val="Noto Sans"/>
        <color rgb="FF222222"/>
        <sz val="10.0"/>
      </rPr>
      <t xml:space="preserve">F2 </t>
    </r>
    <r>
      <rPr>
        <rFont val="Noto Sans CJK SC"/>
        <color rgb="FF222222"/>
        <sz val="10.0"/>
      </rPr>
      <t>현재값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제안값 비교 검토 패널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빈 필드 기본 선택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근거 표시</t>
    </r>
    <r>
      <rPr>
        <rFont val="Noto Sans"/>
        <color rgb="FF222222"/>
        <sz val="10.0"/>
      </rPr>
      <t>)</t>
    </r>
  </si>
  <si>
    <t>F2-06·F2-05</t>
  </si>
  <si>
    <r>
      <rPr>
        <rFont val="Noto Sans"/>
        <color rgb="FF222222"/>
        <sz val="10.0"/>
      </rPr>
      <t xml:space="preserve">F2 </t>
    </r>
    <r>
      <rPr>
        <rFont val="Noto Sans CJK SC"/>
        <color rgb="FF222222"/>
        <sz val="10.0"/>
      </rPr>
      <t>제안값 수정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 xml:space="preserve">승인 </t>
    </r>
    <r>
      <rPr>
        <rFont val="Noto Sans"/>
        <color rgb="FF222222"/>
        <sz val="10.0"/>
      </rPr>
      <t>UI(</t>
    </r>
    <r>
      <rPr>
        <rFont val="Noto Sans CJK SC"/>
        <color rgb="FF222222"/>
        <sz val="10.0"/>
      </rPr>
      <t>승인 전 확정 데이터 변경 금지</t>
    </r>
    <r>
      <rPr>
        <rFont val="Noto Sans"/>
        <color rgb="FF222222"/>
        <sz val="10.0"/>
      </rPr>
      <t>)</t>
    </r>
  </si>
  <si>
    <t>F2-07</t>
  </si>
  <si>
    <r>
      <rPr>
        <rFont val="Noto Sans"/>
        <color rgb="FF222222"/>
        <sz val="10.0"/>
      </rPr>
      <t xml:space="preserve">RunPod Whisper </t>
    </r>
    <r>
      <rPr>
        <rFont val="Noto Sans CJK SC"/>
        <color rgb="FF222222"/>
        <sz val="10.0"/>
      </rPr>
      <t>배포</t>
    </r>
    <r>
      <rPr>
        <rFont val="Noto Sans"/>
        <color rgb="FF222222"/>
        <sz val="10.0"/>
      </rPr>
      <t xml:space="preserve">·STT </t>
    </r>
    <r>
      <rPr>
        <rFont val="Noto Sans CJK SC"/>
        <color rgb="FF222222"/>
        <sz val="10.0"/>
      </rPr>
      <t>변환 및 임시 음성 삭제 처리</t>
    </r>
  </si>
  <si>
    <t>F2-02·F2-09</t>
  </si>
  <si>
    <t>2.5</t>
  </si>
  <si>
    <r>
      <rPr>
        <rFont val="Noto Sans"/>
        <color rgb="FF222222"/>
        <sz val="10.0"/>
      </rPr>
      <t xml:space="preserve">F2 </t>
    </r>
    <r>
      <rPr>
        <rFont val="Noto Sans CJK SC"/>
        <color rgb="FF222222"/>
        <sz val="10.0"/>
      </rPr>
      <t>대표 상담 유형 분류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매도의뢰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매수문의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기타</t>
    </r>
    <r>
      <rPr>
        <rFont val="Noto Sans"/>
        <color rgb="FF222222"/>
        <sz val="10.0"/>
      </rPr>
      <t xml:space="preserve">) </t>
    </r>
    <r>
      <rPr>
        <rFont val="Noto Sans CJK SC"/>
        <color rgb="FF222222"/>
        <sz val="10.0"/>
      </rPr>
      <t>구현</t>
    </r>
  </si>
  <si>
    <t>F2-03</t>
  </si>
  <si>
    <r>
      <rPr>
        <rFont val="Noto Sans"/>
        <color rgb="FF222222"/>
        <sz val="10.0"/>
      </rPr>
      <t xml:space="preserve">F2 </t>
    </r>
    <r>
      <rPr>
        <rFont val="Noto Sans CJK SC"/>
        <color rgb="FF222222"/>
        <sz val="10.0"/>
      </rPr>
      <t>핵심 필드 추출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근거 문장 연결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무근거 값 생성 금지</t>
    </r>
    <r>
      <rPr>
        <rFont val="Noto Sans"/>
        <color rgb="FF222222"/>
        <sz val="10.0"/>
      </rPr>
      <t>)</t>
    </r>
  </si>
  <si>
    <t>F2-04·F2-05</t>
  </si>
  <si>
    <r>
      <rPr>
        <rFont val="Noto Sans"/>
        <color rgb="FF222222"/>
        <sz val="10.0"/>
      </rPr>
      <t xml:space="preserve">F3 </t>
    </r>
    <r>
      <rPr>
        <rFont val="Noto Sans CJK SC"/>
        <color rgb="FF222222"/>
        <sz val="10.0"/>
      </rPr>
      <t>매물 대리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손님 대리 구현 및 데이터 접근 격리</t>
    </r>
  </si>
  <si>
    <t>F3-01·F3-02</t>
  </si>
  <si>
    <r>
      <rPr>
        <rFont val="Noto Sans"/>
        <color rgb="FF222222"/>
        <sz val="10.0"/>
      </rPr>
      <t xml:space="preserve">F3 </t>
    </r>
    <r>
      <rPr>
        <rFont val="Noto Sans CJK SC"/>
        <color rgb="FF222222"/>
        <sz val="10.0"/>
      </rPr>
      <t>포지션 카드 생성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불명 표시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근거</t>
    </r>
    <r>
      <rPr>
        <rFont val="Noto Sans"/>
        <color rgb="FF222222"/>
        <sz val="10.0"/>
      </rPr>
      <t>/</t>
    </r>
    <r>
      <rPr>
        <rFont val="Noto Sans CJK SC"/>
        <color rgb="FF222222"/>
        <sz val="10.0"/>
      </rPr>
      <t>추정 표식</t>
    </r>
    <r>
      <rPr>
        <rFont val="Noto Sans"/>
        <color rgb="FF222222"/>
        <sz val="10.0"/>
      </rPr>
      <t>)</t>
    </r>
  </si>
  <si>
    <t>F3-03</t>
  </si>
  <si>
    <r>
      <rPr>
        <rFont val="Noto Sans"/>
        <color rgb="FF222222"/>
        <sz val="10.0"/>
      </rPr>
      <t xml:space="preserve">F3 </t>
    </r>
    <r>
      <rPr>
        <rFont val="Noto Sans CJK SC"/>
        <color rgb="FF222222"/>
        <sz val="10.0"/>
      </rPr>
      <t xml:space="preserve">결정적 후보 추출 </t>
    </r>
    <r>
      <rPr>
        <rFont val="Noto Sans"/>
        <color rgb="FF222222"/>
        <sz val="10.0"/>
      </rPr>
      <t xml:space="preserve">SQL </t>
    </r>
    <r>
      <rPr>
        <rFont val="Noto Sans CJK SC"/>
        <color rgb="FF222222"/>
        <sz val="10.0"/>
      </rPr>
      <t>구현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 xml:space="preserve">후보 선정에 </t>
    </r>
    <r>
      <rPr>
        <rFont val="Noto Sans"/>
        <color rgb="FF222222"/>
        <sz val="10.0"/>
      </rPr>
      <t xml:space="preserve">LLM </t>
    </r>
    <r>
      <rPr>
        <rFont val="Noto Sans CJK SC"/>
        <color rgb="FF222222"/>
        <sz val="10.0"/>
      </rPr>
      <t>미사용</t>
    </r>
    <r>
      <rPr>
        <rFont val="Noto Sans"/>
        <color rgb="FF222222"/>
        <sz val="10.0"/>
      </rPr>
      <t>)</t>
    </r>
  </si>
  <si>
    <r>
      <rPr>
        <rFont val="Noto Sans"/>
        <color rgb="FF222222"/>
        <sz val="10.0"/>
      </rPr>
      <t xml:space="preserve">F1 </t>
    </r>
    <r>
      <rPr>
        <rFont val="Noto Sans CJK SC"/>
        <color rgb="FF222222"/>
        <sz val="10.0"/>
      </rPr>
      <t>데이터 인터페이스 구현</t>
    </r>
    <r>
      <rPr>
        <rFont val="Noto Sans"/>
        <color rgb="FF222222"/>
        <sz val="10.0"/>
      </rPr>
      <t xml:space="preserve">(F2 </t>
    </r>
    <r>
      <rPr>
        <rFont val="Noto Sans CJK SC"/>
        <color rgb="FF222222"/>
        <sz val="10.0"/>
      </rPr>
      <t>저장</t>
    </r>
    <r>
      <rPr>
        <rFont val="Noto Sans"/>
        <color rgb="FF222222"/>
        <sz val="10.0"/>
      </rPr>
      <t xml:space="preserve">·F3 </t>
    </r>
    <r>
      <rPr>
        <rFont val="Noto Sans CJK SC"/>
        <color rgb="FF222222"/>
        <sz val="10.0"/>
      </rPr>
      <t>후보 조회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식별자 마스킹</t>
    </r>
    <r>
      <rPr>
        <rFont val="Noto Sans"/>
        <color rgb="FF222222"/>
        <sz val="10.0"/>
      </rPr>
      <t>)</t>
    </r>
  </si>
  <si>
    <t>F1-05·F1-06</t>
  </si>
  <si>
    <r>
      <rPr>
        <rFont val="Noto Sans"/>
        <color rgb="FF222222"/>
        <sz val="10.0"/>
      </rPr>
      <t xml:space="preserve">F2 </t>
    </r>
    <r>
      <rPr>
        <rFont val="Noto Sans CJK SC"/>
        <color rgb="FF222222"/>
        <sz val="10.0"/>
      </rPr>
      <t>승인 필드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상담 로그 초안 저장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 xml:space="preserve">작성 주체 </t>
    </r>
    <r>
      <rPr>
        <rFont val="Noto Sans"/>
        <color rgb="FF222222"/>
        <sz val="10.0"/>
      </rPr>
      <t xml:space="preserve">F2 </t>
    </r>
    <r>
      <rPr>
        <rFont val="Noto Sans CJK SC"/>
        <color rgb="FF222222"/>
        <sz val="10.0"/>
      </rPr>
      <t>기록</t>
    </r>
    <r>
      <rPr>
        <rFont val="Noto Sans"/>
        <color rgb="FF222222"/>
        <sz val="10.0"/>
      </rPr>
      <t>)</t>
    </r>
  </si>
  <si>
    <t>F2-08</t>
  </si>
  <si>
    <r>
      <rPr>
        <rFont val="Noto Sans"/>
        <color rgb="FF222222"/>
        <sz val="10.0"/>
      </rPr>
      <t xml:space="preserve">F2 </t>
    </r>
    <r>
      <rPr>
        <rFont val="Noto Sans CJK SC"/>
        <color rgb="FF222222"/>
        <sz val="10.0"/>
      </rPr>
      <t>실패 복구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단계 재시도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중복 행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중복 로그 방지</t>
    </r>
    <r>
      <rPr>
        <rFont val="Noto Sans"/>
        <color rgb="FF222222"/>
        <sz val="10.0"/>
      </rPr>
      <t>)</t>
    </r>
  </si>
  <si>
    <t>F2-10</t>
  </si>
  <si>
    <r>
      <rPr>
        <rFont val="Noto Sans"/>
        <b/>
        <color rgb="FF9C0006"/>
        <sz val="10.0"/>
      </rPr>
      <t xml:space="preserve">◆ M2  F2 </t>
    </r>
    <r>
      <rPr>
        <rFont val="Noto Sans CJK SC"/>
        <b/>
        <color rgb="FF9C0006"/>
        <sz val="10.0"/>
      </rPr>
      <t>종단 파이프라인</t>
    </r>
    <r>
      <rPr>
        <rFont val="Noto Sans"/>
        <b/>
        <color rgb="FF9C0006"/>
        <sz val="10.0"/>
      </rPr>
      <t>(</t>
    </r>
    <r>
      <rPr>
        <rFont val="Noto Sans CJK SC"/>
        <b/>
        <color rgb="FF9C0006"/>
        <sz val="10.0"/>
      </rPr>
      <t>업로드→</t>
    </r>
    <r>
      <rPr>
        <rFont val="Noto Sans"/>
        <b/>
        <color rgb="FF9C0006"/>
        <sz val="10.0"/>
      </rPr>
      <t>STT→</t>
    </r>
    <r>
      <rPr>
        <rFont val="Noto Sans CJK SC"/>
        <b/>
        <color rgb="FF9C0006"/>
        <sz val="10.0"/>
      </rPr>
      <t>추출→승인 저장</t>
    </r>
    <r>
      <rPr>
        <rFont val="Noto Sans"/>
        <b/>
        <color rgb="FF9C0006"/>
        <sz val="10.0"/>
      </rPr>
      <t xml:space="preserve">) </t>
    </r>
    <r>
      <rPr>
        <rFont val="Noto Sans CJK SC"/>
        <b/>
        <color rgb="FF9C0006"/>
        <sz val="10.0"/>
      </rPr>
      <t>동작</t>
    </r>
  </si>
  <si>
    <t>3</t>
  </si>
  <si>
    <r>
      <rPr>
        <rFont val="Noto Sans"/>
        <b/>
        <color rgb="FF111111"/>
        <sz val="11.0"/>
      </rPr>
      <t>3</t>
    </r>
    <r>
      <rPr>
        <rFont val="Noto Sans CJK SC"/>
        <b/>
        <color rgb="FF111111"/>
        <sz val="11.0"/>
      </rPr>
      <t xml:space="preserve">단계 </t>
    </r>
    <r>
      <rPr>
        <rFont val="Noto Sans"/>
        <b/>
        <color rgb="FF111111"/>
        <sz val="11.0"/>
      </rPr>
      <t xml:space="preserve">· F3 </t>
    </r>
    <r>
      <rPr>
        <rFont val="Noto Sans CJK SC"/>
        <b/>
        <color rgb="FF111111"/>
        <sz val="11.0"/>
      </rPr>
      <t>중개 판정</t>
    </r>
    <r>
      <rPr>
        <rFont val="Noto Sans"/>
        <b/>
        <color rgb="FF111111"/>
        <sz val="11.0"/>
      </rPr>
      <t>·</t>
    </r>
    <r>
      <rPr>
        <rFont val="Noto Sans CJK SC"/>
        <b/>
        <color rgb="FF111111"/>
        <sz val="11.0"/>
      </rPr>
      <t>평가</t>
    </r>
    <r>
      <rPr>
        <rFont val="Noto Sans"/>
        <b/>
        <color rgb="FF111111"/>
        <sz val="11.0"/>
      </rPr>
      <t>·</t>
    </r>
    <r>
      <rPr>
        <rFont val="Noto Sans CJK SC"/>
        <b/>
        <color rgb="FF111111"/>
        <sz val="11.0"/>
      </rPr>
      <t xml:space="preserve">고도화 </t>
    </r>
    <r>
      <rPr>
        <rFont val="Noto Sans"/>
        <b/>
        <color rgb="FF111111"/>
        <sz val="11.0"/>
      </rPr>
      <t>(8/31~9/11, 5~6</t>
    </r>
    <r>
      <rPr>
        <rFont val="Noto Sans CJK SC"/>
        <b/>
        <color rgb="FF111111"/>
        <sz val="11.0"/>
      </rPr>
      <t>주차</t>
    </r>
    <r>
      <rPr>
        <rFont val="Noto Sans"/>
        <b/>
        <color rgb="FF111111"/>
        <sz val="11.0"/>
      </rPr>
      <t>)</t>
    </r>
  </si>
  <si>
    <r>
      <rPr>
        <rFont val="Noto Sans"/>
        <color rgb="FF222222"/>
        <sz val="10.0"/>
      </rPr>
      <t xml:space="preserve">F3 </t>
    </r>
    <r>
      <rPr>
        <rFont val="Noto Sans CJK SC"/>
        <color rgb="FF222222"/>
        <sz val="10.0"/>
      </rPr>
      <t>중개 판정 구현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등급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순위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걸림돌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양보 지점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다음 행동</t>
    </r>
    <r>
      <rPr>
        <rFont val="Noto Sans"/>
        <color rgb="FF222222"/>
        <sz val="10.0"/>
      </rPr>
      <t>)</t>
    </r>
  </si>
  <si>
    <t>F3-05</t>
  </si>
  <si>
    <r>
      <rPr>
        <rFont val="Noto Sans"/>
        <color rgb="FF222222"/>
        <sz val="10.0"/>
      </rPr>
      <t xml:space="preserve">F3 </t>
    </r>
    <r>
      <rPr>
        <rFont val="Noto Sans CJK SC"/>
        <color rgb="FF222222"/>
        <sz val="10.0"/>
      </rPr>
      <t>근거 추적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상담 로그 원문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 xml:space="preserve">로그 </t>
    </r>
    <r>
      <rPr>
        <rFont val="Noto Sans"/>
        <color rgb="FF222222"/>
        <sz val="10.0"/>
      </rPr>
      <t xml:space="preserve">ID </t>
    </r>
    <r>
      <rPr>
        <rFont val="Noto Sans CJK SC"/>
        <color rgb="FF222222"/>
        <sz val="10.0"/>
      </rPr>
      <t>연결</t>
    </r>
    <r>
      <rPr>
        <rFont val="Noto Sans"/>
        <color rgb="FF222222"/>
        <sz val="10.0"/>
      </rPr>
      <t xml:space="preserve">, </t>
    </r>
    <r>
      <rPr>
        <rFont val="Noto Sans CJK SC"/>
        <color rgb="FF222222"/>
        <sz val="10.0"/>
      </rPr>
      <t>추정 표시</t>
    </r>
    <r>
      <rPr>
        <rFont val="Noto Sans"/>
        <color rgb="FF222222"/>
        <sz val="10.0"/>
      </rPr>
      <t>)</t>
    </r>
  </si>
  <si>
    <t>F3-06</t>
  </si>
  <si>
    <r>
      <rPr>
        <rFont val="Noto Sans CJK SC"/>
        <color rgb="FF222222"/>
        <sz val="10.0"/>
      </rPr>
      <t xml:space="preserve">단일 프롬프트 기준선 구현 및 </t>
    </r>
    <r>
      <rPr>
        <rFont val="Noto Sans"/>
        <color rgb="FF222222"/>
        <sz val="10.0"/>
      </rPr>
      <t>20</t>
    </r>
    <r>
      <rPr>
        <rFont val="Noto Sans CJK SC"/>
        <color rgb="FF222222"/>
        <sz val="10.0"/>
      </rPr>
      <t>개 사례 블라인드 비교 평가</t>
    </r>
  </si>
  <si>
    <t>F3-09·§6</t>
  </si>
  <si>
    <r>
      <rPr>
        <rFont val="Noto Sans"/>
        <color rgb="FF222222"/>
        <sz val="10.0"/>
      </rPr>
      <t xml:space="preserve">F3 </t>
    </r>
    <r>
      <rPr>
        <rFont val="Noto Sans CJK SC"/>
        <color rgb="FF222222"/>
        <sz val="10.0"/>
      </rPr>
      <t>판정 결과 패널 구현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후보 비교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근거 확인</t>
    </r>
    <r>
      <rPr>
        <rFont val="Noto Sans"/>
        <color rgb="FF222222"/>
        <sz val="10.0"/>
      </rPr>
      <t>)</t>
    </r>
  </si>
  <si>
    <t>F3-07</t>
  </si>
  <si>
    <r>
      <rPr>
        <rFont val="Noto Sans"/>
        <color rgb="FF222222"/>
        <sz val="10.0"/>
      </rPr>
      <t xml:space="preserve">F3 </t>
    </r>
    <r>
      <rPr>
        <rFont val="Noto Sans CJK SC"/>
        <color rgb="FF222222"/>
        <sz val="10.0"/>
      </rPr>
      <t>사용자 피드백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포지션 정정 기능 구현</t>
    </r>
  </si>
  <si>
    <t>F3-08</t>
  </si>
  <si>
    <t>3.6</t>
  </si>
  <si>
    <r>
      <rPr>
        <rFont val="Noto Sans CJK SC"/>
        <color rgb="FF222222"/>
        <sz val="10.0"/>
      </rPr>
      <t>화면 문구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한국어 현업 용어 일관화 및 사용성 보완</t>
    </r>
  </si>
  <si>
    <t>§5</t>
  </si>
  <si>
    <r>
      <rPr>
        <rFont val="Noto Sans"/>
        <color rgb="FF222222"/>
        <sz val="10.0"/>
      </rPr>
      <t xml:space="preserve">F2 </t>
    </r>
    <r>
      <rPr>
        <rFont val="Noto Sans CJK SC"/>
        <color rgb="FF222222"/>
        <sz val="10.0"/>
      </rPr>
      <t>분류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추출 품질 개선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프롬프트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후처리</t>
    </r>
    <r>
      <rPr>
        <rFont val="Noto Sans"/>
        <color rgb="FF222222"/>
        <sz val="10.0"/>
      </rPr>
      <t>)</t>
    </r>
  </si>
  <si>
    <r>
      <rPr>
        <rFont val="Noto Sans"/>
        <color rgb="FF222222"/>
        <sz val="10.0"/>
      </rPr>
      <t xml:space="preserve">F2 </t>
    </r>
    <r>
      <rPr>
        <rFont val="Noto Sans CJK SC"/>
        <color rgb="FF222222"/>
        <sz val="10.0"/>
      </rPr>
      <t>정량 평가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 xml:space="preserve">분류 </t>
    </r>
    <r>
      <rPr>
        <rFont val="Noto Sans"/>
        <color rgb="FF222222"/>
        <sz val="10.0"/>
      </rPr>
      <t>Macro-F1·</t>
    </r>
    <r>
      <rPr>
        <rFont val="Noto Sans CJK SC"/>
        <color rgb="FF222222"/>
        <sz val="10.0"/>
      </rPr>
      <t xml:space="preserve">추출 </t>
    </r>
    <r>
      <rPr>
        <rFont val="Noto Sans"/>
        <color rgb="FF222222"/>
        <sz val="10.0"/>
      </rPr>
      <t>Micro-F1·</t>
    </r>
    <r>
      <rPr>
        <rFont val="Noto Sans CJK SC"/>
        <color rgb="FF222222"/>
        <sz val="10.0"/>
      </rPr>
      <t>무근거 생성률</t>
    </r>
    <r>
      <rPr>
        <rFont val="Noto Sans"/>
        <color rgb="FF222222"/>
        <sz val="10.0"/>
      </rPr>
      <t>)</t>
    </r>
  </si>
  <si>
    <t>§6</t>
  </si>
  <si>
    <t>3.9</t>
  </si>
  <si>
    <r>
      <rPr>
        <rFont val="Noto Sans"/>
        <color rgb="FF222222"/>
        <sz val="10.0"/>
      </rPr>
      <t xml:space="preserve">F2 </t>
    </r>
    <r>
      <rPr>
        <rFont val="Noto Sans CJK SC"/>
        <color rgb="FF222222"/>
        <sz val="10.0"/>
      </rPr>
      <t>파이프라인 고정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데이터셋</t>
    </r>
    <r>
      <rPr>
        <rFont val="Noto Sans"/>
        <color rgb="FF222222"/>
        <sz val="10.0"/>
      </rPr>
      <t>/</t>
    </r>
    <r>
      <rPr>
        <rFont val="Noto Sans CJK SC"/>
        <color rgb="FF222222"/>
        <sz val="10.0"/>
      </rPr>
      <t>모델</t>
    </r>
    <r>
      <rPr>
        <rFont val="Noto Sans"/>
        <color rgb="FF222222"/>
        <sz val="10.0"/>
      </rPr>
      <t>/</t>
    </r>
    <r>
      <rPr>
        <rFont val="Noto Sans CJK SC"/>
        <color rgb="FF222222"/>
        <sz val="10.0"/>
      </rPr>
      <t>입력 버전 기록</t>
    </r>
  </si>
  <si>
    <r>
      <rPr>
        <rFont val="Noto Sans"/>
        <color rgb="FF222222"/>
        <sz val="10.0"/>
      </rPr>
      <t xml:space="preserve">F3 </t>
    </r>
    <r>
      <rPr>
        <rFont val="Noto Sans CJK SC"/>
        <color rgb="FF222222"/>
        <sz val="10.0"/>
      </rPr>
      <t>실행을 사용자 행동 기반으로 제한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정기 스케줄 배제</t>
    </r>
    <r>
      <rPr>
        <rFont val="Noto Sans"/>
        <color rgb="FF222222"/>
        <sz val="10.0"/>
      </rPr>
      <t>)</t>
    </r>
  </si>
  <si>
    <t>F3-10</t>
  </si>
  <si>
    <r>
      <rPr>
        <rFont val="Noto Sans CJK SC"/>
        <color rgb="FF222222"/>
        <sz val="10.0"/>
      </rPr>
      <t>판정 버전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중복 실행 관리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입력 버전 기록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직전 결과 재사용</t>
    </r>
    <r>
      <rPr>
        <rFont val="Noto Sans"/>
        <color rgb="FF222222"/>
        <sz val="10.0"/>
      </rPr>
      <t>)</t>
    </r>
  </si>
  <si>
    <t>F3-11</t>
  </si>
  <si>
    <r>
      <rPr>
        <rFont val="Noto Sans CJK SC"/>
        <color rgb="FF222222"/>
        <sz val="10.0"/>
      </rPr>
      <t xml:space="preserve">실행 로그 기록 및 </t>
    </r>
    <r>
      <rPr>
        <rFont val="Noto Sans"/>
        <color rgb="FF222222"/>
        <sz val="10.0"/>
      </rPr>
      <t xml:space="preserve">AI </t>
    </r>
    <r>
      <rPr>
        <rFont val="Noto Sans CJK SC"/>
        <color rgb="FF222222"/>
        <sz val="10.0"/>
      </rPr>
      <t>장애 격리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장애 주입 테스트</t>
    </r>
  </si>
  <si>
    <t>F1-07·F3-12</t>
  </si>
  <si>
    <r>
      <rPr>
        <rFont val="Noto Sans"/>
        <b/>
        <color rgb="FF9C0006"/>
        <sz val="10.0"/>
      </rPr>
      <t xml:space="preserve">◆ M3  </t>
    </r>
    <r>
      <rPr>
        <rFont val="Noto Sans CJK SC"/>
        <b/>
        <color rgb="FF9C0006"/>
        <sz val="10.0"/>
      </rPr>
      <t>전 기능 개발 완료</t>
    </r>
    <r>
      <rPr>
        <rFont val="Noto Sans"/>
        <b/>
        <color rgb="FF9C0006"/>
        <sz val="10.0"/>
      </rPr>
      <t>(Feature Freeze) + F2/F3 1</t>
    </r>
    <r>
      <rPr>
        <rFont val="Noto Sans CJK SC"/>
        <b/>
        <color rgb="FF9C0006"/>
        <sz val="10.0"/>
      </rPr>
      <t>차 평가 결과</t>
    </r>
  </si>
  <si>
    <t>4</t>
  </si>
  <si>
    <r>
      <rPr>
        <rFont val="Noto Sans"/>
        <b/>
        <color rgb="FF111111"/>
        <sz val="11.0"/>
      </rPr>
      <t>4</t>
    </r>
    <r>
      <rPr>
        <rFont val="Noto Sans CJK SC"/>
        <b/>
        <color rgb="FF111111"/>
        <sz val="11.0"/>
      </rPr>
      <t xml:space="preserve">단계 </t>
    </r>
    <r>
      <rPr>
        <rFont val="Noto Sans"/>
        <b/>
        <color rgb="FF111111"/>
        <sz val="11.0"/>
      </rPr>
      <t xml:space="preserve">· </t>
    </r>
    <r>
      <rPr>
        <rFont val="Noto Sans CJK SC"/>
        <b/>
        <color rgb="FF111111"/>
        <sz val="11.0"/>
      </rPr>
      <t>통합</t>
    </r>
    <r>
      <rPr>
        <rFont val="Noto Sans"/>
        <b/>
        <color rgb="FF111111"/>
        <sz val="11.0"/>
      </rPr>
      <t>·</t>
    </r>
    <r>
      <rPr>
        <rFont val="Noto Sans CJK SC"/>
        <b/>
        <color rgb="FF111111"/>
        <sz val="11.0"/>
      </rPr>
      <t>최종 평가</t>
    </r>
    <r>
      <rPr>
        <rFont val="Noto Sans"/>
        <b/>
        <color rgb="FF111111"/>
        <sz val="11.0"/>
      </rPr>
      <t>·</t>
    </r>
    <r>
      <rPr>
        <rFont val="Noto Sans CJK SC"/>
        <b/>
        <color rgb="FF111111"/>
        <sz val="11.0"/>
      </rPr>
      <t xml:space="preserve">마무리 </t>
    </r>
    <r>
      <rPr>
        <rFont val="Noto Sans"/>
        <b/>
        <color rgb="FF111111"/>
        <sz val="11.0"/>
      </rPr>
      <t>(9/14~9/18, 7</t>
    </r>
    <r>
      <rPr>
        <rFont val="Noto Sans CJK SC"/>
        <b/>
        <color rgb="FF111111"/>
        <sz val="11.0"/>
      </rPr>
      <t>주차</t>
    </r>
    <r>
      <rPr>
        <rFont val="Noto Sans"/>
        <b/>
        <color rgb="FF111111"/>
        <sz val="11.0"/>
      </rPr>
      <t>)</t>
    </r>
  </si>
  <si>
    <r>
      <rPr>
        <rFont val="Noto Sans CJK SC"/>
        <color rgb="FF222222"/>
        <sz val="10.0"/>
      </rPr>
      <t>종단 간 시나리오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업로드→승인 저장→후보 추출→판정 표시</t>
    </r>
    <r>
      <rPr>
        <rFont val="Noto Sans"/>
        <color rgb="FF222222"/>
        <sz val="10.0"/>
      </rPr>
      <t>) 5</t>
    </r>
    <r>
      <rPr>
        <rFont val="Noto Sans CJK SC"/>
        <color rgb="FF222222"/>
        <sz val="10.0"/>
      </rPr>
      <t>회 연속 검증</t>
    </r>
  </si>
  <si>
    <t>§6·F1-07</t>
  </si>
  <si>
    <r>
      <rPr>
        <rFont val="Noto Sans CJK SC"/>
        <color rgb="FF222222"/>
        <sz val="10.0"/>
      </rPr>
      <t>운영 환경 배포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개인정보</t>
    </r>
    <r>
      <rPr>
        <rFont val="Noto Sans"/>
        <color rgb="FF222222"/>
        <sz val="10.0"/>
      </rPr>
      <t>/</t>
    </r>
    <r>
      <rPr>
        <rFont val="Noto Sans CJK SC"/>
        <color rgb="FF222222"/>
        <sz val="10.0"/>
      </rPr>
      <t>보안 최종 점검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임시 리소스 정리</t>
    </r>
  </si>
  <si>
    <t>§5·F2-09</t>
  </si>
  <si>
    <r>
      <rPr>
        <rFont val="Noto Sans"/>
        <color rgb="FF222222"/>
        <sz val="10.0"/>
      </rPr>
      <t xml:space="preserve">MVP </t>
    </r>
    <r>
      <rPr>
        <rFont val="Noto Sans CJK SC"/>
        <color rgb="FF222222"/>
        <sz val="10.0"/>
      </rPr>
      <t>완료 기준 최종 평가 및 결과 보고서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기준선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실패 사례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수정 부담</t>
    </r>
    <r>
      <rPr>
        <rFont val="Noto Sans"/>
        <color rgb="FF222222"/>
        <sz val="10.0"/>
      </rPr>
      <t>)</t>
    </r>
  </si>
  <si>
    <t>4.4</t>
  </si>
  <si>
    <r>
      <rPr>
        <rFont val="Noto Sans CJK SC"/>
        <color rgb="FF222222"/>
        <sz val="10.0"/>
      </rPr>
      <t>최종 발표자료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시연 영상 제작</t>
    </r>
  </si>
  <si>
    <t>4.5</t>
  </si>
  <si>
    <r>
      <rPr>
        <rFont val="Noto Sans CJK SC"/>
        <color rgb="FF222222"/>
        <sz val="10.0"/>
      </rPr>
      <t>재현 패키지</t>
    </r>
    <r>
      <rPr>
        <rFont val="Noto Sans"/>
        <color rgb="FF222222"/>
        <sz val="10.0"/>
      </rPr>
      <t>(</t>
    </r>
    <r>
      <rPr>
        <rFont val="Noto Sans CJK SC"/>
        <color rgb="FF222222"/>
        <sz val="10.0"/>
      </rPr>
      <t>시드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버전 정보</t>
    </r>
    <r>
      <rPr>
        <rFont val="Noto Sans"/>
        <color rgb="FF222222"/>
        <sz val="10.0"/>
      </rPr>
      <t>)·</t>
    </r>
    <r>
      <rPr>
        <rFont val="Noto Sans CJK SC"/>
        <color rgb="FF222222"/>
        <sz val="10.0"/>
      </rPr>
      <t>사용 문서</t>
    </r>
    <r>
      <rPr>
        <rFont val="Noto Sans"/>
        <color rgb="FF222222"/>
        <sz val="10.0"/>
      </rPr>
      <t xml:space="preserve">·README </t>
    </r>
    <r>
      <rPr>
        <rFont val="Noto Sans CJK SC"/>
        <color rgb="FF222222"/>
        <sz val="10.0"/>
      </rPr>
      <t>정리</t>
    </r>
  </si>
  <si>
    <t>F1-08·§5</t>
  </si>
  <si>
    <r>
      <rPr>
        <rFont val="Noto Sans"/>
        <b/>
        <color rgb="FF9C0006"/>
        <sz val="10.0"/>
      </rPr>
      <t xml:space="preserve">◆ M4  </t>
    </r>
    <r>
      <rPr>
        <rFont val="Noto Sans CJK SC"/>
        <b/>
        <color rgb="FF9C0006"/>
        <sz val="10.0"/>
      </rPr>
      <t>통합</t>
    </r>
    <r>
      <rPr>
        <rFont val="Noto Sans"/>
        <b/>
        <color rgb="FF9C0006"/>
        <sz val="10.0"/>
      </rPr>
      <t>·</t>
    </r>
    <r>
      <rPr>
        <rFont val="Noto Sans CJK SC"/>
        <b/>
        <color rgb="FF9C0006"/>
        <sz val="10.0"/>
      </rPr>
      <t>배포</t>
    </r>
    <r>
      <rPr>
        <rFont val="Noto Sans"/>
        <b/>
        <color rgb="FF9C0006"/>
        <sz val="10.0"/>
      </rPr>
      <t>·</t>
    </r>
    <r>
      <rPr>
        <rFont val="Noto Sans CJK SC"/>
        <b/>
        <color rgb="FF9C0006"/>
        <sz val="10.0"/>
      </rPr>
      <t>최종 평가</t>
    </r>
    <r>
      <rPr>
        <rFont val="Noto Sans"/>
        <b/>
        <color rgb="FF9C0006"/>
        <sz val="10.0"/>
      </rPr>
      <t>·</t>
    </r>
    <r>
      <rPr>
        <rFont val="Noto Sans CJK SC"/>
        <b/>
        <color rgb="FF9C0006"/>
        <sz val="10.0"/>
      </rPr>
      <t xml:space="preserve">문서 완료 </t>
    </r>
    <r>
      <rPr>
        <rFont val="Noto Sans"/>
        <b/>
        <color rgb="FF9C0006"/>
        <sz val="10.0"/>
      </rPr>
      <t>(</t>
    </r>
    <r>
      <rPr>
        <rFont val="Noto Sans CJK SC"/>
        <b/>
        <color rgb="FF9C0006"/>
        <sz val="10.0"/>
      </rPr>
      <t>발표 준비 완료</t>
    </r>
    <r>
      <rPr>
        <rFont val="Noto Sans"/>
        <b/>
        <color rgb="FF9C0006"/>
        <sz val="10.0"/>
      </rPr>
      <t>)</t>
    </r>
  </si>
  <si>
    <t>4.6</t>
  </si>
  <si>
    <r>
      <rPr>
        <rFont val="Noto Sans CJK SC"/>
        <color rgb="FF222222"/>
        <sz val="10.0"/>
      </rPr>
      <t>최종 발표</t>
    </r>
    <r>
      <rPr>
        <rFont val="Noto Sans"/>
        <color rgb="FF222222"/>
        <sz val="10.0"/>
      </rPr>
      <t>·</t>
    </r>
    <r>
      <rPr>
        <rFont val="Noto Sans CJK SC"/>
        <color rgb="FF222222"/>
        <sz val="10.0"/>
      </rPr>
      <t>산출물 제출 및 리소스 인계</t>
    </r>
  </si>
  <si>
    <t>M5</t>
  </si>
  <si>
    <r>
      <rPr>
        <rFont val="Noto Sans"/>
        <b/>
        <color rgb="FF9C0006"/>
        <sz val="10.0"/>
      </rPr>
      <t xml:space="preserve">◆ M5  </t>
    </r>
    <r>
      <rPr>
        <rFont val="Noto Sans CJK SC"/>
        <b/>
        <color rgb="FF9C0006"/>
        <sz val="10.0"/>
      </rPr>
      <t xml:space="preserve">최종 발표 </t>
    </r>
    <r>
      <rPr>
        <rFont val="Noto Sans"/>
        <b/>
        <color rgb="FF9C0006"/>
        <sz val="10.0"/>
      </rPr>
      <t xml:space="preserve">· </t>
    </r>
    <r>
      <rPr>
        <rFont val="Noto Sans CJK SC"/>
        <b/>
        <color rgb="FF9C0006"/>
        <sz val="10.0"/>
      </rPr>
      <t>프로젝트 종료</t>
    </r>
  </si>
  <si>
    <t>담당자 범례</t>
  </si>
  <si>
    <r>
      <rPr>
        <rFont val="Noto Sans"/>
        <color rgb="FF444444"/>
        <sz val="9.0"/>
      </rPr>
      <t>A: PM·</t>
    </r>
    <r>
      <rPr>
        <rFont val="Noto Sans CJK SC"/>
        <color rgb="FF444444"/>
        <sz val="9.0"/>
      </rPr>
      <t>기획</t>
    </r>
    <r>
      <rPr>
        <rFont val="Noto Sans"/>
        <color rgb="FF444444"/>
        <sz val="9.0"/>
      </rPr>
      <t>·F1(</t>
    </r>
    <r>
      <rPr>
        <rFont val="Noto Sans CJK SC"/>
        <color rgb="FF444444"/>
        <sz val="9.0"/>
      </rPr>
      <t>장부</t>
    </r>
    <r>
      <rPr>
        <rFont val="Noto Sans"/>
        <color rgb="FF444444"/>
        <sz val="9.0"/>
      </rPr>
      <t xml:space="preserve">) </t>
    </r>
    <r>
      <rPr>
        <rFont val="Noto Sans CJK SC"/>
        <color rgb="FF444444"/>
        <sz val="9.0"/>
      </rPr>
      <t xml:space="preserve">프론트엔드   </t>
    </r>
    <r>
      <rPr>
        <rFont val="Noto Sans"/>
        <color rgb="FF444444"/>
        <sz val="9.0"/>
      </rPr>
      <t xml:space="preserve">|   B: </t>
    </r>
    <r>
      <rPr>
        <rFont val="Noto Sans CJK SC"/>
        <color rgb="FF444444"/>
        <sz val="9.0"/>
      </rPr>
      <t>데이터 수집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전처리</t>
    </r>
    <r>
      <rPr>
        <rFont val="Noto Sans"/>
        <color rgb="FF444444"/>
        <sz val="9.0"/>
      </rPr>
      <t>·F2(STT→</t>
    </r>
    <r>
      <rPr>
        <rFont val="Noto Sans CJK SC"/>
        <color rgb="FF444444"/>
        <sz val="9.0"/>
      </rPr>
      <t>분류</t>
    </r>
    <r>
      <rPr>
        <rFont val="Noto Sans"/>
        <color rgb="FF444444"/>
        <sz val="9.0"/>
      </rPr>
      <t>/</t>
    </r>
    <r>
      <rPr>
        <rFont val="Noto Sans CJK SC"/>
        <color rgb="FF444444"/>
        <sz val="9.0"/>
      </rPr>
      <t>추출</t>
    </r>
    <r>
      <rPr>
        <rFont val="Noto Sans"/>
        <color rgb="FF444444"/>
        <sz val="9.0"/>
      </rPr>
      <t xml:space="preserve">) </t>
    </r>
    <r>
      <rPr>
        <rFont val="Noto Sans CJK SC"/>
        <color rgb="FF444444"/>
        <sz val="9.0"/>
      </rPr>
      <t xml:space="preserve">모델   </t>
    </r>
    <r>
      <rPr>
        <rFont val="Noto Sans"/>
        <color rgb="FF444444"/>
        <sz val="9.0"/>
      </rPr>
      <t xml:space="preserve">|   C: </t>
    </r>
    <r>
      <rPr>
        <rFont val="Noto Sans CJK SC"/>
        <color rgb="FF444444"/>
        <sz val="9.0"/>
      </rPr>
      <t>라벨링</t>
    </r>
    <r>
      <rPr>
        <rFont val="Noto Sans"/>
        <color rgb="FF444444"/>
        <sz val="9.0"/>
      </rPr>
      <t>/</t>
    </r>
    <r>
      <rPr>
        <rFont val="Noto Sans CJK SC"/>
        <color rgb="FF444444"/>
        <sz val="9.0"/>
      </rPr>
      <t>평가</t>
    </r>
    <r>
      <rPr>
        <rFont val="Noto Sans"/>
        <color rgb="FF444444"/>
        <sz val="9.0"/>
      </rPr>
      <t>·F3(</t>
    </r>
    <r>
      <rPr>
        <rFont val="Noto Sans CJK SC"/>
        <color rgb="FF444444"/>
        <sz val="9.0"/>
      </rPr>
      <t>멀티 에이전트</t>
    </r>
    <r>
      <rPr>
        <rFont val="Noto Sans"/>
        <color rgb="FF444444"/>
        <sz val="9.0"/>
      </rPr>
      <t xml:space="preserve">)   |   D: </t>
    </r>
    <r>
      <rPr>
        <rFont val="Noto Sans CJK SC"/>
        <color rgb="FF444444"/>
        <sz val="9.0"/>
      </rPr>
      <t xml:space="preserve">백엔드 </t>
    </r>
    <r>
      <rPr>
        <rFont val="Noto Sans"/>
        <color rgb="FF444444"/>
        <sz val="9.0"/>
      </rPr>
      <t>API·</t>
    </r>
    <r>
      <rPr>
        <rFont val="Noto Sans CJK SC"/>
        <color rgb="FF444444"/>
        <sz val="9.0"/>
      </rPr>
      <t>인프라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배포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보안</t>
    </r>
  </si>
  <si>
    <r>
      <rPr>
        <rFont val="Noto Sans CJK SC"/>
        <b/>
        <color rgb="FF0B5394"/>
        <sz val="10.0"/>
      </rPr>
      <t xml:space="preserve">요구사항 </t>
    </r>
    <r>
      <rPr>
        <rFont val="Noto Sans"/>
        <b/>
        <color rgb="FF0B5394"/>
        <sz val="10.0"/>
      </rPr>
      <t xml:space="preserve">ID </t>
    </r>
    <r>
      <rPr>
        <rFont val="Noto Sans CJK SC"/>
        <b/>
        <color rgb="FF0B5394"/>
        <sz val="10.0"/>
      </rPr>
      <t>표기</t>
    </r>
  </si>
  <si>
    <r>
      <rPr>
        <rFont val="Noto Sans"/>
        <color rgb="FF444444"/>
        <sz val="9.0"/>
      </rPr>
      <t xml:space="preserve">F1-03 = MVP-F1-03 </t>
    </r>
    <r>
      <rPr>
        <rFont val="Noto Sans CJK SC"/>
        <color rgb="FF444444"/>
        <sz val="9.0"/>
      </rPr>
      <t xml:space="preserve">등 요구사항 정의서 </t>
    </r>
    <r>
      <rPr>
        <rFont val="Noto Sans"/>
        <color rgb="FF444444"/>
        <sz val="9.0"/>
      </rPr>
      <t>3</t>
    </r>
    <r>
      <rPr>
        <rFont val="Noto Sans CJK SC"/>
        <color rgb="FF444444"/>
        <sz val="9.0"/>
      </rPr>
      <t xml:space="preserve">장의 기능 요구사항 </t>
    </r>
    <r>
      <rPr>
        <rFont val="Noto Sans"/>
        <color rgb="FF444444"/>
        <sz val="9.0"/>
      </rPr>
      <t xml:space="preserve">ID </t>
    </r>
    <r>
      <rPr>
        <rFont val="Noto Sans CJK SC"/>
        <color rgb="FF444444"/>
        <sz val="9.0"/>
      </rPr>
      <t>축약 표기</t>
    </r>
    <r>
      <rPr>
        <rFont val="Noto Sans"/>
        <color rgb="FF444444"/>
        <sz val="9.0"/>
      </rPr>
      <t xml:space="preserve">. §4 </t>
    </r>
    <r>
      <rPr>
        <rFont val="Noto Sans CJK SC"/>
        <color rgb="FF444444"/>
        <sz val="9.0"/>
      </rPr>
      <t>데이터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책임 경계</t>
    </r>
    <r>
      <rPr>
        <rFont val="Noto Sans"/>
        <color rgb="FF444444"/>
        <sz val="9.0"/>
      </rPr>
      <t xml:space="preserve">, §5 </t>
    </r>
    <r>
      <rPr>
        <rFont val="Noto Sans CJK SC"/>
        <color rgb="FF444444"/>
        <sz val="9.0"/>
      </rPr>
      <t>비기능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보안</t>
    </r>
    <r>
      <rPr>
        <rFont val="Noto Sans"/>
        <color rgb="FF444444"/>
        <sz val="9.0"/>
      </rPr>
      <t xml:space="preserve">, §6 </t>
    </r>
    <r>
      <rPr>
        <rFont val="Noto Sans CJK SC"/>
        <color rgb="FF444444"/>
        <sz val="9.0"/>
      </rPr>
      <t xml:space="preserve">평가 및 </t>
    </r>
    <r>
      <rPr>
        <rFont val="Noto Sans"/>
        <color rgb="FF444444"/>
        <sz val="9.0"/>
      </rPr>
      <t xml:space="preserve">MVP </t>
    </r>
    <r>
      <rPr>
        <rFont val="Noto Sans CJK SC"/>
        <color rgb="FF444444"/>
        <sz val="9.0"/>
      </rPr>
      <t>완료 기준 절을 가리킴</t>
    </r>
    <r>
      <rPr>
        <rFont val="Noto Sans"/>
        <color rgb="FF444444"/>
        <sz val="9.0"/>
      </rPr>
      <t xml:space="preserve">. </t>
    </r>
    <r>
      <rPr>
        <rFont val="Noto Sans CJK SC"/>
        <color rgb="FF444444"/>
        <sz val="9.0"/>
      </rPr>
      <t xml:space="preserve">전체 매핑은 </t>
    </r>
    <r>
      <rPr>
        <rFont val="Noto Sans"/>
        <color rgb="FF444444"/>
        <sz val="9.0"/>
      </rPr>
      <t>'</t>
    </r>
    <r>
      <rPr>
        <rFont val="Noto Sans CJK SC"/>
        <color rgb="FF444444"/>
        <sz val="9.0"/>
      </rPr>
      <t>요구사항 추적표</t>
    </r>
    <r>
      <rPr>
        <rFont val="Noto Sans"/>
        <color rgb="FF444444"/>
        <sz val="9.0"/>
      </rPr>
      <t xml:space="preserve">' </t>
    </r>
    <r>
      <rPr>
        <rFont val="Noto Sans CJK SC"/>
        <color rgb="FF444444"/>
        <sz val="9.0"/>
      </rPr>
      <t>시트 참조</t>
    </r>
    <r>
      <rPr>
        <rFont val="Noto Sans"/>
        <color rgb="FF444444"/>
        <sz val="9.0"/>
      </rPr>
      <t>.</t>
    </r>
  </si>
  <si>
    <t>단계 정의</t>
  </si>
  <si>
    <r>
      <rPr>
        <rFont val="Noto Sans CJK SC"/>
        <color rgb="FF444444"/>
        <sz val="9.0"/>
      </rPr>
      <t xml:space="preserve">준비주 </t>
    </r>
    <r>
      <rPr>
        <rFont val="Noto Sans"/>
        <color rgb="FF444444"/>
        <sz val="9.0"/>
      </rPr>
      <t>7/27~7/31 · 1</t>
    </r>
    <r>
      <rPr>
        <rFont val="Noto Sans CJK SC"/>
        <color rgb="FF444444"/>
        <sz val="9.0"/>
      </rPr>
      <t xml:space="preserve">단계 </t>
    </r>
    <r>
      <rPr>
        <rFont val="Noto Sans"/>
        <color rgb="FF444444"/>
        <sz val="9.0"/>
      </rPr>
      <t xml:space="preserve">8/3~8/14(F1 </t>
    </r>
    <r>
      <rPr>
        <rFont val="Noto Sans CJK SC"/>
        <color rgb="FF444444"/>
        <sz val="9.0"/>
      </rPr>
      <t>최소 기반</t>
    </r>
    <r>
      <rPr>
        <rFont val="Noto Sans"/>
        <color rgb="FF444444"/>
        <sz val="9.0"/>
      </rPr>
      <t>) · 2</t>
    </r>
    <r>
      <rPr>
        <rFont val="Noto Sans CJK SC"/>
        <color rgb="FF444444"/>
        <sz val="9.0"/>
      </rPr>
      <t xml:space="preserve">단계 </t>
    </r>
    <r>
      <rPr>
        <rFont val="Noto Sans"/>
        <color rgb="FF444444"/>
        <sz val="9.0"/>
      </rPr>
      <t xml:space="preserve">8/17~8/28(F2 </t>
    </r>
    <r>
      <rPr>
        <rFont val="Noto Sans CJK SC"/>
        <color rgb="FF444444"/>
        <sz val="9.0"/>
      </rPr>
      <t>파이프라인</t>
    </r>
    <r>
      <rPr>
        <rFont val="Noto Sans"/>
        <color rgb="FF444444"/>
        <sz val="9.0"/>
      </rPr>
      <t xml:space="preserve">·F3 </t>
    </r>
    <r>
      <rPr>
        <rFont val="Noto Sans CJK SC"/>
        <color rgb="FF444444"/>
        <sz val="9.0"/>
      </rPr>
      <t>대리</t>
    </r>
    <r>
      <rPr>
        <rFont val="Noto Sans"/>
        <color rgb="FF444444"/>
        <sz val="9.0"/>
      </rPr>
      <t>) · 3</t>
    </r>
    <r>
      <rPr>
        <rFont val="Noto Sans CJK SC"/>
        <color rgb="FF444444"/>
        <sz val="9.0"/>
      </rPr>
      <t xml:space="preserve">단계 </t>
    </r>
    <r>
      <rPr>
        <rFont val="Noto Sans"/>
        <color rgb="FF444444"/>
        <sz val="9.0"/>
      </rPr>
      <t xml:space="preserve">8/31~9/11(F3 </t>
    </r>
    <r>
      <rPr>
        <rFont val="Noto Sans CJK SC"/>
        <color rgb="FF444444"/>
        <sz val="9.0"/>
      </rPr>
      <t>판정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평가</t>
    </r>
    <r>
      <rPr>
        <rFont val="Noto Sans"/>
        <color rgb="FF444444"/>
        <sz val="9.0"/>
      </rPr>
      <t>) · 4</t>
    </r>
    <r>
      <rPr>
        <rFont val="Noto Sans CJK SC"/>
        <color rgb="FF444444"/>
        <sz val="9.0"/>
      </rPr>
      <t xml:space="preserve">단계 </t>
    </r>
    <r>
      <rPr>
        <rFont val="Noto Sans"/>
        <color rgb="FF444444"/>
        <sz val="9.0"/>
      </rPr>
      <t>9/14~9/18(</t>
    </r>
    <r>
      <rPr>
        <rFont val="Noto Sans CJK SC"/>
        <color rgb="FF444444"/>
        <sz val="9.0"/>
      </rPr>
      <t>통합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최종 평가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발표</t>
    </r>
    <r>
      <rPr>
        <rFont val="Noto Sans"/>
        <color rgb="FF444444"/>
        <sz val="9.0"/>
      </rPr>
      <t xml:space="preserve">) — </t>
    </r>
    <r>
      <rPr>
        <rFont val="Noto Sans CJK SC"/>
        <color rgb="FF444444"/>
        <sz val="9.0"/>
      </rPr>
      <t xml:space="preserve">전 일정 </t>
    </r>
    <r>
      <rPr>
        <rFont val="Noto Sans"/>
        <color rgb="FF444444"/>
        <sz val="9.0"/>
      </rPr>
      <t xml:space="preserve">9/18 </t>
    </r>
    <r>
      <rPr>
        <rFont val="Noto Sans CJK SC"/>
        <color rgb="FF444444"/>
        <sz val="9.0"/>
      </rPr>
      <t>종료</t>
    </r>
  </si>
  <si>
    <t>마일스톤</t>
  </si>
  <si>
    <r>
      <rPr>
        <rFont val="Noto Sans"/>
        <color rgb="FF444444"/>
        <sz val="9.0"/>
      </rPr>
      <t xml:space="preserve">M0 7/31 </t>
    </r>
    <r>
      <rPr>
        <rFont val="Noto Sans CJK SC"/>
        <color rgb="FF444444"/>
        <sz val="9.0"/>
      </rPr>
      <t xml:space="preserve">요구사항 확정 </t>
    </r>
    <r>
      <rPr>
        <rFont val="Noto Sans"/>
        <color rgb="FF444444"/>
        <sz val="9.0"/>
      </rPr>
      <t xml:space="preserve">· M1 8/14 F1 </t>
    </r>
    <r>
      <rPr>
        <rFont val="Noto Sans CJK SC"/>
        <color rgb="FF444444"/>
        <sz val="9.0"/>
      </rPr>
      <t>최소 기반</t>
    </r>
    <r>
      <rPr>
        <rFont val="Noto Sans"/>
        <color rgb="FF444444"/>
        <sz val="9.0"/>
      </rPr>
      <t>+</t>
    </r>
    <r>
      <rPr>
        <rFont val="Noto Sans CJK SC"/>
        <color rgb="FF444444"/>
        <sz val="9.0"/>
      </rPr>
      <t>시드</t>
    </r>
    <r>
      <rPr>
        <rFont val="Noto Sans"/>
        <color rgb="FF444444"/>
        <sz val="9.0"/>
      </rPr>
      <t>/</t>
    </r>
    <r>
      <rPr>
        <rFont val="Noto Sans CJK SC"/>
        <color rgb="FF444444"/>
        <sz val="9.0"/>
      </rPr>
      <t xml:space="preserve">골드셋 </t>
    </r>
    <r>
      <rPr>
        <rFont val="Noto Sans"/>
        <color rgb="FF444444"/>
        <sz val="9.0"/>
      </rPr>
      <t xml:space="preserve">v1 · M2 8/28 F2 </t>
    </r>
    <r>
      <rPr>
        <rFont val="Noto Sans CJK SC"/>
        <color rgb="FF444444"/>
        <sz val="9.0"/>
      </rPr>
      <t xml:space="preserve">종단 파이프라인 동작 </t>
    </r>
    <r>
      <rPr>
        <rFont val="Noto Sans"/>
        <color rgb="FF444444"/>
        <sz val="9.0"/>
      </rPr>
      <t>· M3 9/11 Feature Freeze+1</t>
    </r>
    <r>
      <rPr>
        <rFont val="Noto Sans CJK SC"/>
        <color rgb="FF444444"/>
        <sz val="9.0"/>
      </rPr>
      <t xml:space="preserve">차 평가 </t>
    </r>
    <r>
      <rPr>
        <rFont val="Noto Sans"/>
        <color rgb="FF444444"/>
        <sz val="9.0"/>
      </rPr>
      <t xml:space="preserve">· M4 9/17 </t>
    </r>
    <r>
      <rPr>
        <rFont val="Noto Sans CJK SC"/>
        <color rgb="FF444444"/>
        <sz val="9.0"/>
      </rPr>
      <t>통합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배포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>평가</t>
    </r>
    <r>
      <rPr>
        <rFont val="Noto Sans"/>
        <color rgb="FF444444"/>
        <sz val="9.0"/>
      </rPr>
      <t>·</t>
    </r>
    <r>
      <rPr>
        <rFont val="Noto Sans CJK SC"/>
        <color rgb="FF444444"/>
        <sz val="9.0"/>
      </rPr>
      <t xml:space="preserve">문서 완료 </t>
    </r>
    <r>
      <rPr>
        <rFont val="Noto Sans"/>
        <color rgb="FF444444"/>
        <sz val="9.0"/>
      </rPr>
      <t xml:space="preserve">· M5 9/18 </t>
    </r>
    <r>
      <rPr>
        <rFont val="Noto Sans CJK SC"/>
        <color rgb="FF444444"/>
        <sz val="9.0"/>
      </rPr>
      <t>최종 발표</t>
    </r>
  </si>
  <si>
    <r>
      <rPr>
        <rFont val="Noto Sans"/>
        <b/>
        <color rgb="FF0B5394"/>
        <sz val="10.0"/>
      </rPr>
      <t xml:space="preserve">v0.1 → v0.2 </t>
    </r>
    <r>
      <rPr>
        <rFont val="Arial"/>
        <b/>
        <color rgb="FF0B5394"/>
        <sz val="10.0"/>
      </rPr>
      <t>변경 사항</t>
    </r>
  </si>
  <si>
    <r>
      <rPr>
        <rFont val="Arial"/>
        <color rgb="FF444444"/>
        <sz val="9.0"/>
      </rPr>
      <t xml:space="preserve">① 전 세부 작업을 요구사항 정의서의 </t>
    </r>
    <r>
      <rPr>
        <rFont val="Noto Sans"/>
        <color rgb="FF444444"/>
        <sz val="9.0"/>
      </rPr>
      <t>MVP-F1(8)·F2(10)·F3(12) 30</t>
    </r>
    <r>
      <rPr>
        <rFont val="Arial"/>
        <color rgb="FF444444"/>
        <sz val="9.0"/>
      </rPr>
      <t xml:space="preserve">개 요구사항에 </t>
    </r>
    <r>
      <rPr>
        <rFont val="Noto Sans"/>
        <color rgb="FF444444"/>
        <sz val="9.0"/>
      </rPr>
      <t xml:space="preserve">1:1 </t>
    </r>
    <r>
      <rPr>
        <rFont val="Arial"/>
        <color rgb="FF444444"/>
        <sz val="9.0"/>
      </rPr>
      <t xml:space="preserve">이상으로 매핑하고 </t>
    </r>
    <r>
      <rPr>
        <rFont val="Noto Sans"/>
        <color rgb="FF444444"/>
        <sz val="9.0"/>
      </rPr>
      <t>'</t>
    </r>
    <r>
      <rPr>
        <rFont val="Arial"/>
        <color rgb="FF444444"/>
        <sz val="9.0"/>
      </rPr>
      <t xml:space="preserve">요구사항 </t>
    </r>
    <r>
      <rPr>
        <rFont val="Noto Sans"/>
        <color rgb="FF444444"/>
        <sz val="9.0"/>
      </rPr>
      <t xml:space="preserve">ID' </t>
    </r>
    <r>
      <rPr>
        <rFont val="Arial"/>
        <color rgb="FF444444"/>
        <sz val="9.0"/>
      </rPr>
      <t xml:space="preserve">열 신설 </t>
    </r>
    <r>
      <rPr>
        <rFont val="Noto Sans"/>
        <color rgb="FF444444"/>
        <sz val="9.0"/>
      </rPr>
      <t xml:space="preserve">· ② </t>
    </r>
    <r>
      <rPr>
        <rFont val="Arial"/>
        <color rgb="FF444444"/>
        <sz val="9.0"/>
      </rPr>
      <t>명시적 제외 범위 작업 삭제</t>
    </r>
    <r>
      <rPr>
        <rFont val="Noto Sans"/>
        <color rgb="FF444444"/>
        <sz val="9.0"/>
      </rPr>
      <t>(</t>
    </r>
    <r>
      <rPr>
        <rFont val="Arial"/>
        <color rgb="FF444444"/>
        <sz val="9.0"/>
      </rPr>
      <t>현업 수준 권한</t>
    </r>
    <r>
      <rPr>
        <rFont val="Noto Sans"/>
        <color rgb="FF444444"/>
        <sz val="9.0"/>
      </rPr>
      <t>·</t>
    </r>
    <r>
      <rPr>
        <rFont val="Arial"/>
        <color rgb="FF444444"/>
        <sz val="9.0"/>
      </rPr>
      <t>감사 로그</t>
    </r>
    <r>
      <rPr>
        <rFont val="Noto Sans"/>
        <color rgb="FF444444"/>
        <sz val="9.0"/>
      </rPr>
      <t xml:space="preserve">, </t>
    </r>
    <r>
      <rPr>
        <rFont val="Arial"/>
        <color rgb="FF444444"/>
        <sz val="9.0"/>
      </rPr>
      <t>통합검색</t>
    </r>
    <r>
      <rPr>
        <rFont val="Noto Sans"/>
        <color rgb="FF444444"/>
        <sz val="9.0"/>
      </rPr>
      <t xml:space="preserve">, </t>
    </r>
    <r>
      <rPr>
        <rFont val="Arial"/>
        <color rgb="FF444444"/>
        <sz val="9.0"/>
      </rPr>
      <t>장부 전수 이관</t>
    </r>
    <r>
      <rPr>
        <rFont val="Noto Sans"/>
        <color rgb="FF444444"/>
        <sz val="9.0"/>
      </rPr>
      <t xml:space="preserve">, Qwen </t>
    </r>
    <r>
      <rPr>
        <rFont val="Arial"/>
        <color rgb="FF444444"/>
        <sz val="9.0"/>
      </rPr>
      <t>파인튜닝 비교</t>
    </r>
    <r>
      <rPr>
        <rFont val="Noto Sans"/>
        <color rgb="FF444444"/>
        <sz val="9.0"/>
      </rPr>
      <t xml:space="preserve">, </t>
    </r>
    <r>
      <rPr>
        <rFont val="Arial"/>
        <color rgb="FF444444"/>
        <sz val="9.0"/>
      </rPr>
      <t>인증</t>
    </r>
    <r>
      <rPr>
        <rFont val="Noto Sans"/>
        <color rgb="FF444444"/>
        <sz val="9.0"/>
      </rPr>
      <t>/</t>
    </r>
    <r>
      <rPr>
        <rFont val="Arial"/>
        <color rgb="FF444444"/>
        <sz val="9.0"/>
      </rPr>
      <t>권한 기반</t>
    </r>
    <r>
      <rPr>
        <rFont val="Noto Sans"/>
        <color rgb="FF444444"/>
        <sz val="9.0"/>
      </rPr>
      <t xml:space="preserve">) · ③ </t>
    </r>
    <r>
      <rPr>
        <rFont val="Arial"/>
        <color rgb="FF444444"/>
        <sz val="9.0"/>
      </rPr>
      <t>누락 요구사항 작업 신설</t>
    </r>
    <r>
      <rPr>
        <rFont val="Noto Sans"/>
        <color rgb="FF444444"/>
        <sz val="9.0"/>
      </rPr>
      <t xml:space="preserve">(F1-05 </t>
    </r>
    <r>
      <rPr>
        <rFont val="Arial"/>
        <color rgb="FF444444"/>
        <sz val="9.0"/>
      </rPr>
      <t>데이터 인터페이스</t>
    </r>
    <r>
      <rPr>
        <rFont val="Noto Sans"/>
        <color rgb="FF444444"/>
        <sz val="9.0"/>
      </rPr>
      <t xml:space="preserve">, F1-06 </t>
    </r>
    <r>
      <rPr>
        <rFont val="Arial"/>
        <color rgb="FF444444"/>
        <sz val="9.0"/>
      </rPr>
      <t>작성 주체</t>
    </r>
    <r>
      <rPr>
        <rFont val="Noto Sans"/>
        <color rgb="FF444444"/>
        <sz val="9.0"/>
      </rPr>
      <t>·</t>
    </r>
    <r>
      <rPr>
        <rFont val="Arial"/>
        <color rgb="FF444444"/>
        <sz val="9.0"/>
      </rPr>
      <t>마스킹</t>
    </r>
    <r>
      <rPr>
        <rFont val="Noto Sans"/>
        <color rgb="FF444444"/>
        <sz val="9.0"/>
      </rPr>
      <t xml:space="preserve">, F1-07/F3-12 </t>
    </r>
    <r>
      <rPr>
        <rFont val="Arial"/>
        <color rgb="FF444444"/>
        <sz val="9.0"/>
      </rPr>
      <t>장애 격리</t>
    </r>
    <r>
      <rPr>
        <rFont val="Noto Sans"/>
        <color rgb="FF444444"/>
        <sz val="9.0"/>
      </rPr>
      <t xml:space="preserve">, F2-05 </t>
    </r>
    <r>
      <rPr>
        <rFont val="Arial"/>
        <color rgb="FF444444"/>
        <sz val="9.0"/>
      </rPr>
      <t>근거 표시</t>
    </r>
    <r>
      <rPr>
        <rFont val="Noto Sans"/>
        <color rgb="FF444444"/>
        <sz val="9.0"/>
      </rPr>
      <t xml:space="preserve">, F2-07 </t>
    </r>
    <r>
      <rPr>
        <rFont val="Arial"/>
        <color rgb="FF444444"/>
        <sz val="9.0"/>
      </rPr>
      <t>승인</t>
    </r>
    <r>
      <rPr>
        <rFont val="Noto Sans"/>
        <color rgb="FF444444"/>
        <sz val="9.0"/>
      </rPr>
      <t xml:space="preserve">, F2-09 </t>
    </r>
    <r>
      <rPr>
        <rFont val="Arial"/>
        <color rgb="FF444444"/>
        <sz val="9.0"/>
      </rPr>
      <t>임시 음성 삭제</t>
    </r>
    <r>
      <rPr>
        <rFont val="Noto Sans"/>
        <color rgb="FF444444"/>
        <sz val="9.0"/>
      </rPr>
      <t xml:space="preserve">, F2-10 </t>
    </r>
    <r>
      <rPr>
        <rFont val="Arial"/>
        <color rgb="FF444444"/>
        <sz val="9.0"/>
      </rPr>
      <t>실패 복구</t>
    </r>
    <r>
      <rPr>
        <rFont val="Noto Sans"/>
        <color rgb="FF444444"/>
        <sz val="9.0"/>
      </rPr>
      <t xml:space="preserve">, F3-01~F3-11 </t>
    </r>
    <r>
      <rPr>
        <rFont val="Arial"/>
        <color rgb="FF444444"/>
        <sz val="9.0"/>
      </rPr>
      <t>전 항목</t>
    </r>
    <r>
      <rPr>
        <rFont val="Noto Sans"/>
        <color rgb="FF444444"/>
        <sz val="9.0"/>
      </rPr>
      <t xml:space="preserve">) · ④ </t>
    </r>
    <r>
      <rPr>
        <rFont val="Arial"/>
        <color rgb="FF444444"/>
        <sz val="9.0"/>
      </rPr>
      <t xml:space="preserve">단계 목표를 </t>
    </r>
    <r>
      <rPr>
        <rFont val="Noto Sans"/>
        <color rgb="FF444444"/>
        <sz val="9.0"/>
      </rPr>
      <t xml:space="preserve">F1→F2→F3 </t>
    </r>
    <r>
      <rPr>
        <rFont val="Arial"/>
        <color rgb="FF444444"/>
        <sz val="9.0"/>
      </rPr>
      <t xml:space="preserve">검증 순서에 맞게 재정의 </t>
    </r>
    <r>
      <rPr>
        <rFont val="Noto Sans"/>
        <color rgb="FF444444"/>
        <sz val="9.0"/>
      </rPr>
      <t xml:space="preserve">· ⑤ §6 </t>
    </r>
    <r>
      <rPr>
        <rFont val="Arial"/>
        <color rgb="FF444444"/>
        <sz val="9.0"/>
      </rPr>
      <t>평가 합격 기준 검증 작업</t>
    </r>
    <r>
      <rPr>
        <rFont val="Noto Sans"/>
        <color rgb="FF444444"/>
        <sz val="9.0"/>
      </rPr>
      <t>(3.3·3.8·4.1·4.3)</t>
    </r>
    <r>
      <rPr>
        <rFont val="Arial"/>
        <color rgb="FF444444"/>
        <sz val="9.0"/>
      </rPr>
      <t xml:space="preserve">을 일정에 명시 </t>
    </r>
    <r>
      <rPr>
        <rFont val="Noto Sans"/>
        <color rgb="FF444444"/>
        <sz val="9.0"/>
      </rPr>
      <t xml:space="preserve">· ⑥ </t>
    </r>
    <r>
      <rPr>
        <rFont val="Arial"/>
        <color rgb="FF444444"/>
        <sz val="9.0"/>
      </rPr>
      <t>일정 프레임</t>
    </r>
    <r>
      <rPr>
        <rFont val="Noto Sans"/>
        <color rgb="FF444444"/>
        <sz val="9.0"/>
      </rPr>
      <t>(7/27~9/18)·</t>
    </r>
    <r>
      <rPr>
        <rFont val="Arial"/>
        <color rgb="FF444444"/>
        <sz val="9.0"/>
      </rPr>
      <t xml:space="preserve">담당 </t>
    </r>
    <r>
      <rPr>
        <rFont val="Noto Sans"/>
        <color rgb="FF444444"/>
        <sz val="9.0"/>
      </rPr>
      <t>A/B/C/D·</t>
    </r>
    <r>
      <rPr>
        <rFont val="Arial"/>
        <color rgb="FF444444"/>
        <sz val="9.0"/>
      </rPr>
      <t xml:space="preserve">마일스톤 </t>
    </r>
    <r>
      <rPr>
        <rFont val="Noto Sans"/>
        <color rgb="FF444444"/>
        <sz val="9.0"/>
      </rPr>
      <t>M0~M5</t>
    </r>
    <r>
      <rPr>
        <rFont val="Arial"/>
        <color rgb="FF444444"/>
        <sz val="9.0"/>
      </rPr>
      <t xml:space="preserve">는 </t>
    </r>
    <r>
      <rPr>
        <rFont val="Noto Sans"/>
        <color rgb="FF444444"/>
        <sz val="9.0"/>
      </rPr>
      <t xml:space="preserve">v0.4 </t>
    </r>
    <r>
      <rPr>
        <rFont val="Arial"/>
        <color rgb="FF444444"/>
        <sz val="9.0"/>
      </rPr>
      <t>유지</t>
    </r>
  </si>
  <si>
    <t>작업 부하</t>
  </si>
  <si>
    <r>
      <rPr>
        <rFont val="Noto Sans"/>
        <color rgb="FF444444"/>
        <sz val="9.0"/>
      </rPr>
      <t>1~3</t>
    </r>
    <r>
      <rPr>
        <rFont val="Arial"/>
        <color rgb="FF444444"/>
        <sz val="9.0"/>
      </rPr>
      <t xml:space="preserve">단계는 각 </t>
    </r>
    <r>
      <rPr>
        <rFont val="Noto Sans"/>
        <color rgb="FF444444"/>
        <sz val="9.0"/>
      </rPr>
      <t>10</t>
    </r>
    <r>
      <rPr>
        <rFont val="Arial"/>
        <color rgb="FF444444"/>
        <sz val="9.0"/>
      </rPr>
      <t xml:space="preserve">영업일 기준 </t>
    </r>
    <r>
      <rPr>
        <rFont val="Noto Sans"/>
        <color rgb="FF444444"/>
        <sz val="9.0"/>
      </rPr>
      <t xml:space="preserve">A/B/C/D </t>
    </r>
    <r>
      <rPr>
        <rFont val="Arial"/>
        <color rgb="FF444444"/>
        <sz val="9.0"/>
      </rPr>
      <t xml:space="preserve">각 </t>
    </r>
    <r>
      <rPr>
        <rFont val="Noto Sans"/>
        <color rgb="FF444444"/>
        <sz val="9.0"/>
      </rPr>
      <t>10</t>
    </r>
    <r>
      <rPr>
        <rFont val="Arial"/>
        <color rgb="FF444444"/>
        <sz val="9.0"/>
      </rPr>
      <t>일</t>
    </r>
    <r>
      <rPr>
        <rFont val="Noto Sans"/>
        <color rgb="FF444444"/>
        <sz val="9.0"/>
      </rPr>
      <t>, 4</t>
    </r>
    <r>
      <rPr>
        <rFont val="Arial"/>
        <color rgb="FF444444"/>
        <sz val="9.0"/>
      </rPr>
      <t>단계</t>
    </r>
    <r>
      <rPr>
        <rFont val="Noto Sans"/>
        <color rgb="FF444444"/>
        <sz val="9.0"/>
      </rPr>
      <t>(9/14~9/18)</t>
    </r>
    <r>
      <rPr>
        <rFont val="Arial"/>
        <color rgb="FF444444"/>
        <sz val="9.0"/>
      </rPr>
      <t xml:space="preserve">는 공통 통합 검증 </t>
    </r>
    <r>
      <rPr>
        <rFont val="Noto Sans"/>
        <color rgb="FF444444"/>
        <sz val="9.0"/>
      </rPr>
      <t>2</t>
    </r>
    <r>
      <rPr>
        <rFont val="Arial"/>
        <color rgb="FF444444"/>
        <sz val="9.0"/>
      </rPr>
      <t xml:space="preserve">일 </t>
    </r>
    <r>
      <rPr>
        <rFont val="Noto Sans"/>
        <color rgb="FF444444"/>
        <sz val="9.0"/>
      </rPr>
      <t xml:space="preserve">+ </t>
    </r>
    <r>
      <rPr>
        <rFont val="Arial"/>
        <color rgb="FF444444"/>
        <sz val="9.0"/>
      </rPr>
      <t xml:space="preserve">개인 담당 </t>
    </r>
    <r>
      <rPr>
        <rFont val="Noto Sans"/>
        <color rgb="FF444444"/>
        <sz val="9.0"/>
      </rPr>
      <t>2</t>
    </r>
    <r>
      <rPr>
        <rFont val="Arial"/>
        <color rgb="FF444444"/>
        <sz val="9.0"/>
      </rPr>
      <t xml:space="preserve">일 </t>
    </r>
    <r>
      <rPr>
        <rFont val="Noto Sans"/>
        <color rgb="FF444444"/>
        <sz val="9.0"/>
      </rPr>
      <t xml:space="preserve">+ </t>
    </r>
    <r>
      <rPr>
        <rFont val="Arial"/>
        <color rgb="FF444444"/>
        <sz val="9.0"/>
      </rPr>
      <t xml:space="preserve">발표 </t>
    </r>
    <r>
      <rPr>
        <rFont val="Noto Sans"/>
        <color rgb="FF444444"/>
        <sz val="9.0"/>
      </rPr>
      <t>1</t>
    </r>
    <r>
      <rPr>
        <rFont val="Arial"/>
        <color rgb="FF444444"/>
        <sz val="9.0"/>
      </rPr>
      <t xml:space="preserve">일로 각 </t>
    </r>
    <r>
      <rPr>
        <rFont val="Noto Sans"/>
        <color rgb="FF444444"/>
        <sz val="9.0"/>
      </rPr>
      <t>5</t>
    </r>
    <r>
      <rPr>
        <rFont val="Arial"/>
        <color rgb="FF444444"/>
        <sz val="9.0"/>
      </rPr>
      <t>일</t>
    </r>
    <r>
      <rPr>
        <rFont val="Noto Sans"/>
        <color rgb="FF444444"/>
        <sz val="9.0"/>
      </rPr>
      <t xml:space="preserve">. </t>
    </r>
    <r>
      <rPr>
        <rFont val="Arial"/>
        <color rgb="FF444444"/>
        <sz val="9.0"/>
      </rPr>
      <t xml:space="preserve">준비주는 각 </t>
    </r>
    <r>
      <rPr>
        <rFont val="Noto Sans"/>
        <color rgb="FF444444"/>
        <sz val="9.0"/>
      </rPr>
      <t>5</t>
    </r>
    <r>
      <rPr>
        <rFont val="Arial"/>
        <color rgb="FF444444"/>
        <sz val="9.0"/>
      </rPr>
      <t>일</t>
    </r>
    <r>
      <rPr>
        <rFont val="Noto Sans"/>
        <color rgb="FF444444"/>
        <sz val="9.0"/>
      </rPr>
      <t>.</t>
    </r>
  </si>
  <si>
    <t>진척률</t>
  </si>
  <si>
    <r>
      <rPr>
        <rFont val="Arial"/>
        <color rgb="FF444444"/>
        <sz val="9.0"/>
      </rPr>
      <t xml:space="preserve">모든 세부 작업을 </t>
    </r>
    <r>
      <rPr>
        <rFont val="Noto Sans"/>
        <color rgb="FF444444"/>
        <sz val="9.0"/>
      </rPr>
      <t>0%</t>
    </r>
    <r>
      <rPr>
        <rFont val="Arial"/>
        <color rgb="FF444444"/>
        <sz val="9.0"/>
      </rPr>
      <t>로 초기화했습니다</t>
    </r>
    <r>
      <rPr>
        <rFont val="Noto Sans"/>
        <color rgb="FF444444"/>
        <sz val="9.0"/>
      </rPr>
      <t>. H</t>
    </r>
    <r>
      <rPr>
        <rFont val="Arial"/>
        <color rgb="FF444444"/>
        <sz val="9.0"/>
      </rPr>
      <t>열에 실제 값을 입력하면 단계 행</t>
    </r>
    <r>
      <rPr>
        <rFont val="Noto Sans"/>
        <color rgb="FF444444"/>
        <sz val="9.0"/>
      </rPr>
      <t>(</t>
    </r>
    <r>
      <rPr>
        <rFont val="Arial"/>
        <color rgb="FF444444"/>
        <sz val="9.0"/>
      </rPr>
      <t>회색 행</t>
    </r>
    <r>
      <rPr>
        <rFont val="Noto Sans"/>
        <color rgb="FF444444"/>
        <sz val="9.0"/>
      </rPr>
      <t>)</t>
    </r>
    <r>
      <rPr>
        <rFont val="Arial"/>
        <color rgb="FF444444"/>
        <sz val="9.0"/>
      </rPr>
      <t>의 진척률이 기간 가중 평균으로 자동 계산됩니다</t>
    </r>
    <r>
      <rPr>
        <rFont val="Noto Sans"/>
        <color rgb="FF444444"/>
        <sz val="9.0"/>
      </rPr>
      <t>.</t>
    </r>
  </si>
  <si>
    <t>역할부여 상세
(A,B,C,D)</t>
  </si>
  <si>
    <t>A : PM·기획·F1 프론트엔드
B : 데이터 확보·F2 음성 파이프라인 (음성 → 필드 제안값)
C : 판정 기준 설계·F3 멀티 에이전트 (무엇이 정답인가)
D : 백엔드·인프라·보안 (데이터가 저장되는 모든 경로)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</si>
</sst>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yyyy-mm-dd"/>
    <numFmt numFmtId="165" formatCode="yyyy\-mm\-dd"/>
  </numFmts>
  <fonts count="26">
    <font>
      <sz val="11.0"/>
      <color theme="1"/>
      <name val="Calibri"/>
      <scheme val="minor"/>
    </font>
    <font>
      <b/>
      <sz val="24.0"/>
      <color rgb="FF0B5394"/>
      <name val="Roboto"/>
    </font>
    <font>
      <b/>
      <sz val="11.0"/>
      <color rgb="FF0B5394"/>
      <name val="Noto Sans"/>
    </font>
    <font>
      <b/>
      <sz val="16.0"/>
      <color rgb="FF0B5394"/>
      <name val="Noto Sans"/>
    </font>
    <font>
      <sz val="9.0"/>
      <color rgb="FF444444"/>
      <name val="Noto Sans"/>
    </font>
    <font>
      <sz val="9.0"/>
      <color rgb="FF444444"/>
      <name val="Roboto"/>
    </font>
    <font>
      <b/>
      <sz val="10.0"/>
      <color rgb="FF0B5394"/>
      <name val="Noto Sans"/>
    </font>
    <font>
      <b/>
      <sz val="9.0"/>
      <color rgb="FF000000"/>
      <name val="Noto Sans"/>
    </font>
    <font>
      <sz val="10.0"/>
      <color rgb="FF222222"/>
      <name val="Noto Sans"/>
    </font>
    <font>
      <b/>
      <sz val="9.0"/>
      <color rgb="FF222222"/>
      <name val="Roboto"/>
    </font>
    <font>
      <sz val="9.0"/>
      <color rgb="FF222222"/>
      <name val="Noto Sans"/>
    </font>
    <font>
      <b/>
      <sz val="9.0"/>
      <color rgb="FF9C0006"/>
      <name val="Noto Sans"/>
    </font>
    <font>
      <sz val="11.0"/>
      <color rgb="FFFFFFFF"/>
      <name val="Roboto"/>
    </font>
    <font>
      <sz val="9.0"/>
      <color rgb="FF222222"/>
      <name val="Roboto"/>
    </font>
    <font>
      <b/>
      <sz val="9.0"/>
      <color rgb="FF000000"/>
      <name val="Roboto"/>
    </font>
    <font>
      <b/>
      <sz val="9.0"/>
      <color rgb="FF9C0006"/>
      <name val="Roboto"/>
    </font>
    <font>
      <b/>
      <sz val="9.0"/>
      <color rgb="FFFFFFFF"/>
      <name val="Roboto"/>
    </font>
    <font/>
    <font>
      <b/>
      <sz val="8.0"/>
      <color rgb="FFFFFFFF"/>
      <name val="Noto Sans"/>
    </font>
    <font>
      <b/>
      <sz val="8.0"/>
      <color rgb="FF000000"/>
      <name val="Noto Sans"/>
    </font>
    <font>
      <b/>
      <sz val="11.0"/>
      <color rgb="FF111111"/>
      <name val="Roboto"/>
    </font>
    <font>
      <b/>
      <sz val="11.0"/>
      <color rgb="FF111111"/>
      <name val="Noto Sans"/>
    </font>
    <font>
      <sz val="11.0"/>
      <color theme="1"/>
      <name val="Calibri"/>
    </font>
    <font>
      <sz val="10.0"/>
      <color rgb="FF222222"/>
      <name val="Roboto"/>
    </font>
    <font>
      <b/>
      <sz val="10.0"/>
      <color rgb="FF9C0006"/>
      <name val="Roboto"/>
    </font>
    <font>
      <b/>
      <sz val="10.0"/>
      <color rgb="FF9C0006"/>
      <name val="Noto Sans"/>
    </font>
  </fonts>
  <fills count="18">
    <fill>
      <patternFill patternType="none"/>
    </fill>
    <fill>
      <patternFill patternType="lightGray"/>
    </fill>
    <fill>
      <patternFill patternType="solid">
        <fgColor rgb="FFEFEFEF"/>
        <bgColor rgb="FFEFEFEF"/>
      </patternFill>
    </fill>
    <fill>
      <patternFill patternType="solid">
        <fgColor rgb="FFEAF1F8"/>
        <bgColor rgb="FFEAF1F8"/>
      </patternFill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808080"/>
        <bgColor rgb="FF808080"/>
      </patternFill>
    </fill>
    <fill>
      <patternFill patternType="solid">
        <fgColor rgb="FF0B5394"/>
        <bgColor rgb="FF0B5394"/>
      </patternFill>
    </fill>
    <fill>
      <patternFill patternType="solid">
        <fgColor rgb="FF45818E"/>
        <bgColor rgb="FF45818E"/>
      </patternFill>
    </fill>
    <fill>
      <patternFill patternType="solid">
        <fgColor rgb="FFA64B00"/>
        <bgColor rgb="FFA64B00"/>
      </patternFill>
    </fill>
    <fill>
      <patternFill patternType="solid">
        <fgColor rgb="FF7F6000"/>
        <bgColor rgb="FF7F6000"/>
      </patternFill>
    </fill>
    <fill>
      <patternFill patternType="solid">
        <fgColor rgb="FF2F75B5"/>
        <bgColor rgb="FF2F75B5"/>
      </patternFill>
    </fill>
    <fill>
      <patternFill patternType="solid">
        <fgColor rgb="FFBDD7EE"/>
        <bgColor rgb="FFBDD7EE"/>
      </patternFill>
    </fill>
    <fill>
      <patternFill patternType="solid">
        <fgColor rgb="FFD0D0D0"/>
        <bgColor rgb="FFD0D0D0"/>
      </patternFill>
    </fill>
    <fill>
      <patternFill patternType="solid">
        <fgColor rgb="FFE9F2F1"/>
        <bgColor rgb="FFE9F2F1"/>
      </patternFill>
    </fill>
    <fill>
      <patternFill patternType="solid">
        <fgColor rgb="FFF6EDE4"/>
        <bgColor rgb="FFF6EDE4"/>
      </patternFill>
    </fill>
    <fill>
      <patternFill patternType="solid">
        <fgColor rgb="FFFDF3D8"/>
        <bgColor rgb="FFFDF3D8"/>
      </patternFill>
    </fill>
    <fill>
      <patternFill patternType="solid">
        <fgColor rgb="FFF1F1F1"/>
        <bgColor rgb="FFF1F1F1"/>
      </patternFill>
    </fill>
  </fills>
  <borders count="10">
    <border/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</border>
    <border>
      <left style="thin">
        <color rgb="FFD9D9D9"/>
      </left>
      <right style="thin">
        <color rgb="FFD9D9D9"/>
      </right>
      <top style="thin">
        <color rgb="FFD9D9D9"/>
      </top>
    </border>
    <border>
      <left/>
      <top/>
      <bottom/>
    </border>
    <border>
      <top/>
      <bottom/>
    </border>
    <border>
      <right/>
      <top/>
      <bottom/>
    </border>
    <border>
      <left style="thin">
        <color rgb="FFD9D9D9"/>
      </left>
      <right style="thin">
        <color rgb="FFD9D9D9"/>
      </right>
    </border>
    <border>
      <left style="thin">
        <color rgb="FFD9D9D9"/>
      </left>
      <right style="thin">
        <color rgb="FFD9D9D9"/>
      </right>
      <bottom style="thin">
        <color rgb="FFD9D9D9"/>
      </bottom>
    </border>
    <border>
      <left/>
      <right/>
      <top/>
      <bottom/>
    </border>
    <border>
      <left style="thin">
        <color rgb="FFEDEDED"/>
      </left>
      <right style="thin">
        <color rgb="FFEDEDED"/>
      </right>
      <top style="thin">
        <color rgb="FFEDEDED"/>
      </top>
      <bottom style="thin">
        <color rgb="FFEDEDED"/>
      </bottom>
    </border>
  </borders>
  <cellStyleXfs count="1">
    <xf borderId="0" fillId="0" fontId="0" numFmtId="0" applyAlignment="1" applyFont="1"/>
  </cellStyleXfs>
  <cellXfs count="7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left" shrinkToFit="0" vertical="center" wrapText="0"/>
    </xf>
    <xf borderId="0" fillId="0" fontId="2" numFmtId="0" xfId="0" applyAlignment="1" applyFont="1">
      <alignment horizontal="left" shrinkToFit="0" vertical="center" wrapText="0"/>
    </xf>
    <xf borderId="0" fillId="0" fontId="3" numFmtId="0" xfId="0" applyAlignment="1" applyFont="1">
      <alignment horizontal="left" shrinkToFit="0" vertical="center" wrapText="0"/>
    </xf>
    <xf borderId="0" fillId="0" fontId="4" numFmtId="0" xfId="0" applyAlignment="1" applyFont="1">
      <alignment horizontal="left" shrinkToFit="0" vertical="center" wrapText="0"/>
    </xf>
    <xf borderId="0" fillId="0" fontId="5" numFmtId="0" xfId="0" applyAlignment="1" applyFont="1">
      <alignment horizontal="left" shrinkToFit="0" vertical="center" wrapText="0"/>
    </xf>
    <xf borderId="0" fillId="0" fontId="6" numFmtId="0" xfId="0" applyAlignment="1" applyFont="1">
      <alignment horizontal="left" shrinkToFit="0" vertical="center" wrapText="0"/>
    </xf>
    <xf borderId="1" fillId="2" fontId="7" numFmtId="0" xfId="0" applyAlignment="1" applyBorder="1" applyFill="1" applyFont="1">
      <alignment horizontal="center" shrinkToFit="0" vertical="center" wrapText="1"/>
    </xf>
    <xf borderId="0" fillId="0" fontId="8" numFmtId="0" xfId="0" applyAlignment="1" applyFont="1">
      <alignment horizontal="left" shrinkToFit="0" vertical="center" wrapText="0"/>
    </xf>
    <xf borderId="1" fillId="3" fontId="9" numFmtId="0" xfId="0" applyAlignment="1" applyBorder="1" applyFill="1" applyFont="1">
      <alignment horizontal="center" shrinkToFit="0" vertical="center" wrapText="0"/>
    </xf>
    <xf borderId="1" fillId="3" fontId="10" numFmtId="0" xfId="0" applyAlignment="1" applyBorder="1" applyFill="1" applyFont="1">
      <alignment horizontal="center" shrinkToFit="0" vertical="center" wrapText="0"/>
    </xf>
    <xf borderId="1" fillId="3" fontId="11" numFmtId="0" xfId="0" applyAlignment="1" applyBorder="1" applyFill="1" applyFont="1">
      <alignment horizontal="center" shrinkToFit="0" vertical="center" wrapText="0"/>
    </xf>
    <xf borderId="0" fillId="0" fontId="8" numFmtId="0" xfId="0" applyAlignment="1" applyFont="1">
      <alignment horizontal="left" readingOrder="0" shrinkToFit="0" vertical="center" wrapText="0"/>
    </xf>
    <xf borderId="0" fillId="0" fontId="6" numFmtId="0" xfId="0" applyAlignment="1" applyFont="1">
      <alignment horizontal="left" readingOrder="0" shrinkToFit="0" vertical="center" wrapText="0"/>
    </xf>
    <xf borderId="1" fillId="4" fontId="10" numFmtId="0" xfId="0" applyAlignment="1" applyBorder="1" applyFill="1" applyFont="1">
      <alignment horizontal="left" shrinkToFit="0" vertical="center" wrapText="1"/>
    </xf>
    <xf borderId="0" fillId="0" fontId="8" numFmtId="164" xfId="0" applyAlignment="1" applyFont="1" applyNumberFormat="1">
      <alignment horizontal="left" readingOrder="0" shrinkToFit="0" vertical="center" wrapText="0"/>
    </xf>
    <xf borderId="1" fillId="4" fontId="4" numFmtId="0" xfId="0" applyAlignment="1" applyBorder="1" applyFill="1" applyFont="1">
      <alignment horizontal="left" shrinkToFit="0" vertical="center" wrapText="1"/>
    </xf>
    <xf borderId="0" fillId="0" fontId="12" numFmtId="165" xfId="0" applyAlignment="1" applyFont="1" applyNumberFormat="1">
      <alignment shrinkToFit="0" vertical="bottom" wrapText="0"/>
    </xf>
    <xf borderId="1" fillId="3" fontId="13" numFmtId="0" xfId="0" applyAlignment="1" applyBorder="1" applyFill="1" applyFont="1">
      <alignment horizontal="center" shrinkToFit="0" vertical="center" wrapText="0"/>
    </xf>
    <xf borderId="2" fillId="2" fontId="14" numFmtId="0" xfId="0" applyAlignment="1" applyBorder="1" applyFill="1" applyFont="1">
      <alignment horizontal="center" shrinkToFit="0" vertical="center" wrapText="1"/>
    </xf>
    <xf borderId="2" fillId="2" fontId="7" numFmtId="0" xfId="0" applyAlignment="1" applyBorder="1" applyFill="1" applyFont="1">
      <alignment horizontal="center" shrinkToFit="0" vertical="center" wrapText="1"/>
    </xf>
    <xf borderId="1" fillId="3" fontId="13" numFmtId="165" xfId="0" applyAlignment="1" applyBorder="1" applyFill="1" applyFont="1" applyNumberFormat="1">
      <alignment horizontal="center" shrinkToFit="0" vertical="center" wrapText="0"/>
    </xf>
    <xf borderId="1" fillId="5" fontId="15" numFmtId="0" xfId="0" applyAlignment="1" applyBorder="1" applyFill="1" applyFont="1">
      <alignment horizontal="center" shrinkToFit="0" vertical="center" wrapText="0"/>
    </xf>
    <xf borderId="1" fillId="4" fontId="4" numFmtId="0" xfId="0" applyAlignment="1" applyBorder="1" applyFill="1" applyFont="1">
      <alignment horizontal="center" shrinkToFit="0" vertical="center" wrapText="0"/>
    </xf>
    <xf borderId="3" fillId="6" fontId="16" numFmtId="0" xfId="0" applyAlignment="1" applyBorder="1" applyFill="1" applyFont="1">
      <alignment horizontal="center" shrinkToFit="0" vertical="center" wrapText="0"/>
    </xf>
    <xf borderId="4" fillId="0" fontId="17" numFmtId="0" xfId="0" applyBorder="1" applyFont="1"/>
    <xf borderId="5" fillId="0" fontId="17" numFmtId="0" xfId="0" applyBorder="1" applyFont="1"/>
    <xf borderId="3" fillId="7" fontId="16" numFmtId="0" xfId="0" applyAlignment="1" applyBorder="1" applyFill="1" applyFont="1">
      <alignment horizontal="center" shrinkToFit="0" vertical="center" wrapText="0"/>
    </xf>
    <xf borderId="3" fillId="8" fontId="16" numFmtId="0" xfId="0" applyAlignment="1" applyBorder="1" applyFill="1" applyFont="1">
      <alignment horizontal="center" shrinkToFit="0" vertical="center" wrapText="0"/>
    </xf>
    <xf borderId="3" fillId="9" fontId="16" numFmtId="0" xfId="0" applyAlignment="1" applyBorder="1" applyFill="1" applyFont="1">
      <alignment horizontal="center" shrinkToFit="0" vertical="center" wrapText="0"/>
    </xf>
    <xf borderId="3" fillId="10" fontId="16" numFmtId="0" xfId="0" applyAlignment="1" applyBorder="1" applyFill="1" applyFont="1">
      <alignment horizontal="center" shrinkToFit="0" vertical="center" wrapText="0"/>
    </xf>
    <xf borderId="6" fillId="0" fontId="17" numFmtId="0" xfId="0" applyBorder="1" applyFont="1"/>
    <xf borderId="3" fillId="11" fontId="18" numFmtId="0" xfId="0" applyAlignment="1" applyBorder="1" applyFill="1" applyFont="1">
      <alignment horizontal="center" shrinkToFit="0" vertical="center" wrapText="1"/>
    </xf>
    <xf borderId="7" fillId="0" fontId="17" numFmtId="0" xfId="0" applyBorder="1" applyFont="1"/>
    <xf borderId="8" fillId="12" fontId="19" numFmtId="0" xfId="0" applyAlignment="1" applyBorder="1" applyFill="1" applyFont="1">
      <alignment horizontal="center" shrinkToFit="0" vertical="center" wrapText="0"/>
    </xf>
    <xf borderId="1" fillId="13" fontId="20" numFmtId="0" xfId="0" applyAlignment="1" applyBorder="1" applyFill="1" applyFont="1">
      <alignment horizontal="center" shrinkToFit="0" vertical="center" wrapText="0"/>
    </xf>
    <xf borderId="1" fillId="13" fontId="21" numFmtId="0" xfId="0" applyAlignment="1" applyBorder="1" applyFill="1" applyFont="1">
      <alignment horizontal="left" shrinkToFit="0" vertical="center" wrapText="0"/>
    </xf>
    <xf borderId="1" fillId="13" fontId="21" numFmtId="0" xfId="0" applyAlignment="1" applyBorder="1" applyFill="1" applyFont="1">
      <alignment horizontal="center" shrinkToFit="0" vertical="center" wrapText="0"/>
    </xf>
    <xf borderId="1" fillId="13" fontId="20" numFmtId="165" xfId="0" applyAlignment="1" applyBorder="1" applyFill="1" applyFont="1" applyNumberFormat="1">
      <alignment horizontal="center" shrinkToFit="0" vertical="center" wrapText="0"/>
    </xf>
    <xf borderId="1" fillId="13" fontId="20" numFmtId="9" xfId="0" applyAlignment="1" applyBorder="1" applyFill="1" applyFont="1" applyNumberFormat="1">
      <alignment horizontal="center" shrinkToFit="0" vertical="center" wrapText="0"/>
    </xf>
    <xf borderId="9" fillId="0" fontId="22" numFmtId="0" xfId="0" applyAlignment="1" applyBorder="1" applyFont="1">
      <alignment shrinkToFit="0" vertical="bottom" wrapText="0"/>
    </xf>
    <xf borderId="1" fillId="14" fontId="9" numFmtId="0" xfId="0" applyAlignment="1" applyBorder="1" applyFill="1" applyFont="1">
      <alignment horizontal="center" shrinkToFit="0" vertical="center" wrapText="0"/>
    </xf>
    <xf borderId="1" fillId="14" fontId="10" numFmtId="0" xfId="0" applyAlignment="1" applyBorder="1" applyFill="1" applyFont="1">
      <alignment horizontal="center" shrinkToFit="0" vertical="center" wrapText="0"/>
    </xf>
    <xf borderId="1" fillId="14" fontId="11" numFmtId="0" xfId="0" applyAlignment="1" applyBorder="1" applyFill="1" applyFont="1">
      <alignment horizontal="center" shrinkToFit="0" vertical="center" wrapText="0"/>
    </xf>
    <xf borderId="1" fillId="14" fontId="13" numFmtId="0" xfId="0" applyAlignment="1" applyBorder="1" applyFill="1" applyFont="1">
      <alignment horizontal="center" shrinkToFit="0" vertical="center" wrapText="0"/>
    </xf>
    <xf borderId="1" fillId="4" fontId="23" numFmtId="0" xfId="0" applyAlignment="1" applyBorder="1" applyFill="1" applyFont="1">
      <alignment horizontal="center" shrinkToFit="0" vertical="center" wrapText="0"/>
    </xf>
    <xf borderId="1" fillId="4" fontId="8" numFmtId="0" xfId="0" applyAlignment="1" applyBorder="1" applyFill="1" applyFont="1">
      <alignment horizontal="left" shrinkToFit="0" vertical="center" wrapText="0"/>
    </xf>
    <xf borderId="1" fillId="14" fontId="13" numFmtId="165" xfId="0" applyAlignment="1" applyBorder="1" applyFill="1" applyFont="1" applyNumberFormat="1">
      <alignment horizontal="center" shrinkToFit="0" vertical="center" wrapText="0"/>
    </xf>
    <xf borderId="1" fillId="4" fontId="10" numFmtId="0" xfId="0" applyAlignment="1" applyBorder="1" applyFill="1" applyFont="1">
      <alignment horizontal="center" shrinkToFit="0" vertical="center" wrapText="0"/>
    </xf>
    <xf borderId="1" fillId="4" fontId="8" numFmtId="0" xfId="0" applyAlignment="1" applyBorder="1" applyFill="1" applyFont="1">
      <alignment horizontal="center" shrinkToFit="0" vertical="center" wrapText="0"/>
    </xf>
    <xf borderId="1" fillId="4" fontId="23" numFmtId="165" xfId="0" applyAlignment="1" applyBorder="1" applyFill="1" applyFont="1" applyNumberFormat="1">
      <alignment horizontal="center" shrinkToFit="0" vertical="center" wrapText="0"/>
    </xf>
    <xf borderId="1" fillId="4" fontId="23" numFmtId="9" xfId="0" applyAlignment="1" applyBorder="1" applyFill="1" applyFont="1" applyNumberFormat="1">
      <alignment horizontal="center" shrinkToFit="0" vertical="center" wrapText="0"/>
    </xf>
    <xf borderId="1" fillId="15" fontId="9" numFmtId="0" xfId="0" applyAlignment="1" applyBorder="1" applyFill="1" applyFont="1">
      <alignment horizontal="center" shrinkToFit="0" vertical="center" wrapText="0"/>
    </xf>
    <xf borderId="1" fillId="15" fontId="10" numFmtId="0" xfId="0" applyAlignment="1" applyBorder="1" applyFill="1" applyFont="1">
      <alignment horizontal="center" shrinkToFit="0" vertical="center" wrapText="0"/>
    </xf>
    <xf borderId="1" fillId="15" fontId="11" numFmtId="0" xfId="0" applyAlignment="1" applyBorder="1" applyFill="1" applyFont="1">
      <alignment horizontal="center" shrinkToFit="0" vertical="center" wrapText="0"/>
    </xf>
    <xf borderId="1" fillId="15" fontId="13" numFmtId="0" xfId="0" applyAlignment="1" applyBorder="1" applyFill="1" applyFont="1">
      <alignment horizontal="center" shrinkToFit="0" vertical="center" wrapText="0"/>
    </xf>
    <xf borderId="1" fillId="15" fontId="13" numFmtId="165" xfId="0" applyAlignment="1" applyBorder="1" applyFill="1" applyFont="1" applyNumberFormat="1">
      <alignment horizontal="center" shrinkToFit="0" vertical="center" wrapText="0"/>
    </xf>
    <xf borderId="1" fillId="5" fontId="24" numFmtId="0" xfId="0" applyAlignment="1" applyBorder="1" applyFill="1" applyFont="1">
      <alignment horizontal="center" shrinkToFit="0" vertical="center" wrapText="0"/>
    </xf>
    <xf borderId="1" fillId="5" fontId="25" numFmtId="0" xfId="0" applyAlignment="1" applyBorder="1" applyFill="1" applyFont="1">
      <alignment horizontal="left" shrinkToFit="0" vertical="center" wrapText="0"/>
    </xf>
    <xf borderId="1" fillId="5" fontId="25" numFmtId="0" xfId="0" applyAlignment="1" applyBorder="1" applyFill="1" applyFont="1">
      <alignment horizontal="center" shrinkToFit="0" vertical="center" wrapText="0"/>
    </xf>
    <xf borderId="1" fillId="5" fontId="24" numFmtId="165" xfId="0" applyAlignment="1" applyBorder="1" applyFill="1" applyFont="1" applyNumberFormat="1">
      <alignment horizontal="center" shrinkToFit="0" vertical="center" wrapText="0"/>
    </xf>
    <xf borderId="1" fillId="5" fontId="24" numFmtId="9" xfId="0" applyAlignment="1" applyBorder="1" applyFill="1" applyFont="1" applyNumberFormat="1">
      <alignment horizontal="center" shrinkToFit="0" vertical="center" wrapText="0"/>
    </xf>
    <xf borderId="1" fillId="16" fontId="9" numFmtId="0" xfId="0" applyAlignment="1" applyBorder="1" applyFill="1" applyFont="1">
      <alignment horizontal="center" shrinkToFit="0" vertical="center" wrapText="0"/>
    </xf>
    <xf borderId="1" fillId="16" fontId="10" numFmtId="0" xfId="0" applyAlignment="1" applyBorder="1" applyFill="1" applyFont="1">
      <alignment horizontal="center" shrinkToFit="0" vertical="center" wrapText="0"/>
    </xf>
    <xf borderId="1" fillId="16" fontId="13" numFmtId="0" xfId="0" applyAlignment="1" applyBorder="1" applyFill="1" applyFont="1">
      <alignment horizontal="center" shrinkToFit="0" vertical="center" wrapText="0"/>
    </xf>
    <xf borderId="1" fillId="16" fontId="13" numFmtId="165" xfId="0" applyAlignment="1" applyBorder="1" applyFill="1" applyFont="1" applyNumberFormat="1">
      <alignment horizontal="center" shrinkToFit="0" vertical="center" wrapText="0"/>
    </xf>
    <xf borderId="1" fillId="17" fontId="9" numFmtId="0" xfId="0" applyAlignment="1" applyBorder="1" applyFill="1" applyFont="1">
      <alignment horizontal="center" shrinkToFit="0" vertical="center" wrapText="0"/>
    </xf>
    <xf borderId="1" fillId="17" fontId="10" numFmtId="0" xfId="0" applyAlignment="1" applyBorder="1" applyFill="1" applyFont="1">
      <alignment horizontal="center" shrinkToFit="0" vertical="center" wrapText="0"/>
    </xf>
    <xf borderId="1" fillId="17" fontId="13" numFmtId="0" xfId="0" applyAlignment="1" applyBorder="1" applyFill="1" applyFont="1">
      <alignment horizontal="center" shrinkToFit="0" vertical="center" wrapText="0"/>
    </xf>
    <xf borderId="1" fillId="17" fontId="13" numFmtId="165" xfId="0" applyAlignment="1" applyBorder="1" applyFill="1" applyFont="1" applyNumberFormat="1">
      <alignment horizontal="center" shrinkToFit="0" vertical="center" wrapText="0"/>
    </xf>
    <xf borderId="0" fillId="0" fontId="4" numFmtId="0" xfId="0" applyAlignment="1" applyFont="1">
      <alignment horizontal="left" shrinkToFit="0" vertical="center" wrapText="1"/>
    </xf>
    <xf borderId="0" fillId="0" fontId="4" numFmtId="0" xfId="0" applyAlignment="1" applyFont="1">
      <alignment horizontal="left" readingOrder="0" shrinkToFit="0" vertical="center" wrapText="1"/>
    </xf>
  </cellXfs>
  <cellStyles count="1">
    <cellStyle xfId="0" name="Normal" builtinId="0"/>
  </cellStyles>
  <dxfs count="6">
    <dxf>
      <font/>
      <fill>
        <patternFill patternType="solid">
          <fgColor rgb="FF808080"/>
          <bgColor rgb="FF808080"/>
        </patternFill>
      </fill>
      <border/>
    </dxf>
    <dxf>
      <font/>
      <fill>
        <patternFill patternType="solid">
          <fgColor rgb="FFC00000"/>
          <bgColor rgb="FFC00000"/>
        </patternFill>
      </fill>
      <border/>
    </dxf>
    <dxf>
      <font/>
      <fill>
        <patternFill patternType="solid">
          <fgColor rgb="FF0B5394"/>
          <bgColor rgb="FF0B5394"/>
        </patternFill>
      </fill>
      <border/>
    </dxf>
    <dxf>
      <font/>
      <fill>
        <patternFill patternType="solid">
          <fgColor rgb="FF45818E"/>
          <bgColor rgb="FF45818E"/>
        </patternFill>
      </fill>
      <border/>
    </dxf>
    <dxf>
      <font/>
      <fill>
        <patternFill patternType="solid">
          <fgColor rgb="FFA64B00"/>
          <bgColor rgb="FFA64B00"/>
        </patternFill>
      </fill>
      <border/>
    </dxf>
    <dxf>
      <font/>
      <fill>
        <patternFill patternType="solid">
          <fgColor rgb="FF7F6000"/>
          <bgColor rgb="FF7F600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>
      <pane ySplit="7.0" topLeftCell="A8" activePane="bottomLeft" state="frozen"/>
      <selection activeCell="B9" sqref="B9" pane="bottomLeft"/>
    </sheetView>
  </sheetViews>
  <sheetFormatPr customHeight="1" defaultColWidth="14.43" defaultRowHeight="15.0"/>
  <cols>
    <col customWidth="1" min="1" max="1" width="10.57"/>
    <col customWidth="1" min="2" max="2" width="56.0"/>
    <col customWidth="1" min="3" max="3" width="19.0"/>
    <col customWidth="1" min="4" max="4" width="11.0"/>
    <col customWidth="1" min="5" max="6" width="13.43"/>
    <col customWidth="1" min="7" max="7" width="7.0"/>
    <col customWidth="1" min="8" max="8" width="9.57"/>
    <col customWidth="1" min="9" max="48" width="3.0"/>
  </cols>
  <sheetData>
    <row r="1" ht="33.75" customHeight="1">
      <c r="A1" s="1" t="s">
        <v>0</v>
      </c>
      <c r="G1" s="2" t="s">
        <v>1</v>
      </c>
      <c r="N1" s="5" t="s">
        <v>4</v>
      </c>
    </row>
    <row r="2" ht="18.0" customHeight="1">
      <c r="A2" s="6" t="s">
        <v>7</v>
      </c>
      <c r="C2" s="8" t="s">
        <v>8</v>
      </c>
      <c r="G2" s="6" t="s">
        <v>16</v>
      </c>
      <c r="N2" s="8" t="s">
        <v>20</v>
      </c>
    </row>
    <row r="3" ht="18.0" customHeight="1">
      <c r="A3" s="6" t="s">
        <v>21</v>
      </c>
      <c r="C3" s="12" t="s">
        <v>24</v>
      </c>
      <c r="G3" s="13" t="s">
        <v>25</v>
      </c>
      <c r="N3" s="15">
        <v>46255.0</v>
      </c>
    </row>
    <row r="4" ht="1.5" customHeight="1">
      <c r="I4" s="17">
        <v>46230.0</v>
      </c>
      <c r="J4" s="17">
        <v>46231.0</v>
      </c>
      <c r="K4" s="17">
        <v>46232.0</v>
      </c>
      <c r="L4" s="17">
        <v>46233.0</v>
      </c>
      <c r="M4" s="17">
        <v>46234.0</v>
      </c>
      <c r="N4" s="17">
        <v>46237.0</v>
      </c>
      <c r="O4" s="17">
        <v>46238.0</v>
      </c>
      <c r="P4" s="17">
        <v>46239.0</v>
      </c>
      <c r="Q4" s="17">
        <v>46240.0</v>
      </c>
      <c r="R4" s="17">
        <v>46241.0</v>
      </c>
      <c r="S4" s="17">
        <v>46244.0</v>
      </c>
      <c r="T4" s="17">
        <v>46245.0</v>
      </c>
      <c r="U4" s="17">
        <v>46246.0</v>
      </c>
      <c r="V4" s="17">
        <v>46247.0</v>
      </c>
      <c r="W4" s="17">
        <v>46248.0</v>
      </c>
      <c r="X4" s="17">
        <v>46251.0</v>
      </c>
      <c r="Y4" s="17">
        <v>46252.0</v>
      </c>
      <c r="Z4" s="17">
        <v>46253.0</v>
      </c>
      <c r="AA4" s="17">
        <v>46254.0</v>
      </c>
      <c r="AB4" s="17">
        <v>46255.0</v>
      </c>
      <c r="AC4" s="17">
        <v>46258.0</v>
      </c>
      <c r="AD4" s="17">
        <v>46259.0</v>
      </c>
      <c r="AE4" s="17">
        <v>46260.0</v>
      </c>
      <c r="AF4" s="17">
        <v>46261.0</v>
      </c>
      <c r="AG4" s="17">
        <v>46262.0</v>
      </c>
      <c r="AH4" s="17">
        <v>46265.0</v>
      </c>
      <c r="AI4" s="17">
        <v>46266.0</v>
      </c>
      <c r="AJ4" s="17">
        <v>46267.0</v>
      </c>
      <c r="AK4" s="17">
        <v>46268.0</v>
      </c>
      <c r="AL4" s="17">
        <v>46269.0</v>
      </c>
      <c r="AM4" s="17">
        <v>46272.0</v>
      </c>
      <c r="AN4" s="17">
        <v>46273.0</v>
      </c>
      <c r="AO4" s="17">
        <v>46274.0</v>
      </c>
      <c r="AP4" s="17">
        <v>46275.0</v>
      </c>
      <c r="AQ4" s="17">
        <v>46276.0</v>
      </c>
      <c r="AR4" s="17">
        <v>46279.0</v>
      </c>
      <c r="AS4" s="17">
        <v>46280.0</v>
      </c>
      <c r="AT4" s="17">
        <v>46281.0</v>
      </c>
      <c r="AU4" s="17">
        <v>46282.0</v>
      </c>
      <c r="AV4" s="17">
        <v>46283.0</v>
      </c>
    </row>
    <row r="5" ht="18.0" customHeight="1">
      <c r="A5" s="19" t="s">
        <v>30</v>
      </c>
      <c r="B5" s="20" t="s">
        <v>31</v>
      </c>
      <c r="C5" s="20" t="s">
        <v>32</v>
      </c>
      <c r="D5" s="20" t="s">
        <v>33</v>
      </c>
      <c r="E5" s="20" t="s">
        <v>35</v>
      </c>
      <c r="F5" s="20" t="s">
        <v>37</v>
      </c>
      <c r="G5" s="20" t="s">
        <v>38</v>
      </c>
      <c r="H5" s="20" t="s">
        <v>40</v>
      </c>
      <c r="I5" s="24" t="s">
        <v>41</v>
      </c>
      <c r="J5" s="25"/>
      <c r="K5" s="25"/>
      <c r="L5" s="25"/>
      <c r="M5" s="26"/>
      <c r="N5" s="27" t="s">
        <v>46</v>
      </c>
      <c r="O5" s="25"/>
      <c r="P5" s="25"/>
      <c r="Q5" s="25"/>
      <c r="R5" s="25"/>
      <c r="S5" s="25"/>
      <c r="T5" s="25"/>
      <c r="U5" s="25"/>
      <c r="V5" s="25"/>
      <c r="W5" s="26"/>
      <c r="X5" s="28" t="s">
        <v>47</v>
      </c>
      <c r="Y5" s="25"/>
      <c r="Z5" s="25"/>
      <c r="AA5" s="25"/>
      <c r="AB5" s="25"/>
      <c r="AC5" s="25"/>
      <c r="AD5" s="25"/>
      <c r="AE5" s="25"/>
      <c r="AF5" s="25"/>
      <c r="AG5" s="26"/>
      <c r="AH5" s="29" t="s">
        <v>49</v>
      </c>
      <c r="AI5" s="25"/>
      <c r="AJ5" s="25"/>
      <c r="AK5" s="25"/>
      <c r="AL5" s="25"/>
      <c r="AM5" s="25"/>
      <c r="AN5" s="25"/>
      <c r="AO5" s="25"/>
      <c r="AP5" s="25"/>
      <c r="AQ5" s="26"/>
      <c r="AR5" s="30" t="s">
        <v>51</v>
      </c>
      <c r="AS5" s="25"/>
      <c r="AT5" s="25"/>
      <c r="AU5" s="25"/>
      <c r="AV5" s="26"/>
    </row>
    <row r="6" ht="25.5" customHeight="1">
      <c r="A6" s="31"/>
      <c r="B6" s="31"/>
      <c r="C6" s="31"/>
      <c r="D6" s="31"/>
      <c r="E6" s="31"/>
      <c r="F6" s="31"/>
      <c r="G6" s="31"/>
      <c r="H6" s="31"/>
      <c r="I6" s="32" t="s">
        <v>55</v>
      </c>
      <c r="J6" s="25"/>
      <c r="K6" s="25"/>
      <c r="L6" s="25"/>
      <c r="M6" s="26"/>
      <c r="N6" s="32" t="s">
        <v>56</v>
      </c>
      <c r="O6" s="25"/>
      <c r="P6" s="25"/>
      <c r="Q6" s="25"/>
      <c r="R6" s="26"/>
      <c r="S6" s="32" t="s">
        <v>58</v>
      </c>
      <c r="T6" s="25"/>
      <c r="U6" s="25"/>
      <c r="V6" s="25"/>
      <c r="W6" s="26"/>
      <c r="X6" s="32" t="s">
        <v>59</v>
      </c>
      <c r="Y6" s="25"/>
      <c r="Z6" s="25"/>
      <c r="AA6" s="25"/>
      <c r="AB6" s="26"/>
      <c r="AC6" s="32" t="s">
        <v>63</v>
      </c>
      <c r="AD6" s="25"/>
      <c r="AE6" s="25"/>
      <c r="AF6" s="25"/>
      <c r="AG6" s="26"/>
      <c r="AH6" s="32" t="s">
        <v>64</v>
      </c>
      <c r="AI6" s="25"/>
      <c r="AJ6" s="25"/>
      <c r="AK6" s="25"/>
      <c r="AL6" s="26"/>
      <c r="AM6" s="32" t="s">
        <v>65</v>
      </c>
      <c r="AN6" s="25"/>
      <c r="AO6" s="25"/>
      <c r="AP6" s="25"/>
      <c r="AQ6" s="26"/>
      <c r="AR6" s="32" t="s">
        <v>67</v>
      </c>
      <c r="AS6" s="25"/>
      <c r="AT6" s="25"/>
      <c r="AU6" s="25"/>
      <c r="AV6" s="26"/>
    </row>
    <row r="7" ht="15.75" customHeight="1">
      <c r="A7" s="33"/>
      <c r="B7" s="33"/>
      <c r="C7" s="33"/>
      <c r="D7" s="33"/>
      <c r="E7" s="33"/>
      <c r="F7" s="33"/>
      <c r="G7" s="33"/>
      <c r="H7" s="33"/>
      <c r="I7" s="34" t="s">
        <v>69</v>
      </c>
      <c r="J7" s="34" t="s">
        <v>71</v>
      </c>
      <c r="K7" s="34" t="s">
        <v>73</v>
      </c>
      <c r="L7" s="34" t="s">
        <v>75</v>
      </c>
      <c r="M7" s="34" t="s">
        <v>76</v>
      </c>
      <c r="N7" s="34" t="s">
        <v>69</v>
      </c>
      <c r="O7" s="34" t="s">
        <v>71</v>
      </c>
      <c r="P7" s="34" t="s">
        <v>73</v>
      </c>
      <c r="Q7" s="34" t="s">
        <v>75</v>
      </c>
      <c r="R7" s="34" t="s">
        <v>76</v>
      </c>
      <c r="S7" s="34" t="s">
        <v>69</v>
      </c>
      <c r="T7" s="34" t="s">
        <v>71</v>
      </c>
      <c r="U7" s="34" t="s">
        <v>73</v>
      </c>
      <c r="V7" s="34" t="s">
        <v>75</v>
      </c>
      <c r="W7" s="34" t="s">
        <v>76</v>
      </c>
      <c r="X7" s="34" t="s">
        <v>69</v>
      </c>
      <c r="Y7" s="34" t="s">
        <v>71</v>
      </c>
      <c r="Z7" s="34" t="s">
        <v>73</v>
      </c>
      <c r="AA7" s="34" t="s">
        <v>75</v>
      </c>
      <c r="AB7" s="34" t="s">
        <v>76</v>
      </c>
      <c r="AC7" s="34" t="s">
        <v>69</v>
      </c>
      <c r="AD7" s="34" t="s">
        <v>71</v>
      </c>
      <c r="AE7" s="34" t="s">
        <v>73</v>
      </c>
      <c r="AF7" s="34" t="s">
        <v>75</v>
      </c>
      <c r="AG7" s="34" t="s">
        <v>76</v>
      </c>
      <c r="AH7" s="34" t="s">
        <v>69</v>
      </c>
      <c r="AI7" s="34" t="s">
        <v>71</v>
      </c>
      <c r="AJ7" s="34" t="s">
        <v>73</v>
      </c>
      <c r="AK7" s="34" t="s">
        <v>75</v>
      </c>
      <c r="AL7" s="34" t="s">
        <v>76</v>
      </c>
      <c r="AM7" s="34" t="s">
        <v>69</v>
      </c>
      <c r="AN7" s="34" t="s">
        <v>71</v>
      </c>
      <c r="AO7" s="34" t="s">
        <v>73</v>
      </c>
      <c r="AP7" s="34" t="s">
        <v>75</v>
      </c>
      <c r="AQ7" s="34" t="s">
        <v>76</v>
      </c>
      <c r="AR7" s="34" t="s">
        <v>69</v>
      </c>
      <c r="AS7" s="34" t="s">
        <v>71</v>
      </c>
      <c r="AT7" s="34" t="s">
        <v>73</v>
      </c>
      <c r="AU7" s="34" t="s">
        <v>75</v>
      </c>
      <c r="AV7" s="34" t="s">
        <v>76</v>
      </c>
    </row>
    <row r="8" ht="21.75" customHeight="1">
      <c r="A8" s="35" t="s">
        <v>83</v>
      </c>
      <c r="B8" s="36" t="s">
        <v>85</v>
      </c>
      <c r="C8" s="37" t="s">
        <v>86</v>
      </c>
      <c r="D8" s="37" t="s">
        <v>88</v>
      </c>
      <c r="E8" s="38">
        <f>MIN(E9:E14)</f>
        <v>46230</v>
      </c>
      <c r="F8" s="38">
        <f>MAX(F9:F14)</f>
        <v>46234</v>
      </c>
      <c r="G8" s="35">
        <f t="shared" ref="G8:G65" si="1">NETWORKDAYS(E8,F8)</f>
        <v>5</v>
      </c>
      <c r="H8" s="39">
        <f>IFERROR(SUMPRODUCT($G9:$G14,$H9:$H14)/SUM($G9:$G14),0)</f>
        <v>0</v>
      </c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</row>
    <row r="9" ht="21.75" customHeight="1">
      <c r="A9" s="45" t="s">
        <v>104</v>
      </c>
      <c r="B9" s="46" t="s">
        <v>105</v>
      </c>
      <c r="C9" s="48" t="s">
        <v>106</v>
      </c>
      <c r="D9" s="49" t="s">
        <v>107</v>
      </c>
      <c r="E9" s="50">
        <v>46230.0</v>
      </c>
      <c r="F9" s="50">
        <v>46231.0</v>
      </c>
      <c r="G9" s="45">
        <f t="shared" si="1"/>
        <v>2</v>
      </c>
      <c r="H9" s="51">
        <v>0.0</v>
      </c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</row>
    <row r="10" ht="21.75" customHeight="1">
      <c r="A10" s="45" t="s">
        <v>118</v>
      </c>
      <c r="B10" s="46" t="s">
        <v>119</v>
      </c>
      <c r="C10" s="48" t="s">
        <v>120</v>
      </c>
      <c r="D10" s="49" t="s">
        <v>107</v>
      </c>
      <c r="E10" s="50">
        <v>46232.0</v>
      </c>
      <c r="F10" s="50">
        <v>46234.0</v>
      </c>
      <c r="G10" s="45">
        <f t="shared" si="1"/>
        <v>3</v>
      </c>
      <c r="H10" s="51">
        <v>0.0</v>
      </c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</row>
    <row r="11" ht="21.75" customHeight="1">
      <c r="A11" s="45" t="s">
        <v>128</v>
      </c>
      <c r="B11" s="46" t="s">
        <v>131</v>
      </c>
      <c r="C11" s="48" t="s">
        <v>132</v>
      </c>
      <c r="D11" s="49" t="s">
        <v>133</v>
      </c>
      <c r="E11" s="50">
        <v>46230.0</v>
      </c>
      <c r="F11" s="50">
        <v>46232.0</v>
      </c>
      <c r="G11" s="45">
        <f t="shared" si="1"/>
        <v>3</v>
      </c>
      <c r="H11" s="51">
        <v>0.0</v>
      </c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</row>
    <row r="12" ht="21.75" customHeight="1">
      <c r="A12" s="45" t="s">
        <v>141</v>
      </c>
      <c r="B12" s="46" t="s">
        <v>143</v>
      </c>
      <c r="C12" s="48" t="s">
        <v>144</v>
      </c>
      <c r="D12" s="49" t="s">
        <v>133</v>
      </c>
      <c r="E12" s="50">
        <v>46233.0</v>
      </c>
      <c r="F12" s="50">
        <v>46234.0</v>
      </c>
      <c r="G12" s="45">
        <f t="shared" si="1"/>
        <v>2</v>
      </c>
      <c r="H12" s="51">
        <v>0.0</v>
      </c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</row>
    <row r="13" ht="21.75" customHeight="1">
      <c r="A13" s="45" t="s">
        <v>149</v>
      </c>
      <c r="B13" s="46" t="s">
        <v>151</v>
      </c>
      <c r="C13" s="48" t="s">
        <v>152</v>
      </c>
      <c r="D13" s="49" t="s">
        <v>153</v>
      </c>
      <c r="E13" s="50">
        <v>46230.0</v>
      </c>
      <c r="F13" s="50">
        <v>46234.0</v>
      </c>
      <c r="G13" s="45">
        <f t="shared" si="1"/>
        <v>5</v>
      </c>
      <c r="H13" s="51">
        <v>0.0</v>
      </c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</row>
    <row r="14" ht="21.75" customHeight="1">
      <c r="A14" s="45" t="s">
        <v>163</v>
      </c>
      <c r="B14" s="46" t="s">
        <v>164</v>
      </c>
      <c r="C14" s="48" t="s">
        <v>165</v>
      </c>
      <c r="D14" s="49" t="s">
        <v>166</v>
      </c>
      <c r="E14" s="50">
        <v>46230.0</v>
      </c>
      <c r="F14" s="50">
        <v>46234.0</v>
      </c>
      <c r="G14" s="45">
        <f t="shared" si="1"/>
        <v>5</v>
      </c>
      <c r="H14" s="51">
        <v>0.0</v>
      </c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</row>
    <row r="15" ht="21.75" customHeight="1">
      <c r="A15" s="57" t="s">
        <v>175</v>
      </c>
      <c r="B15" s="58" t="s">
        <v>177</v>
      </c>
      <c r="C15" s="59" t="s">
        <v>86</v>
      </c>
      <c r="D15" s="59" t="s">
        <v>88</v>
      </c>
      <c r="E15" s="60">
        <v>46234.0</v>
      </c>
      <c r="F15" s="60">
        <v>46234.0</v>
      </c>
      <c r="G15" s="57">
        <f t="shared" si="1"/>
        <v>1</v>
      </c>
      <c r="H15" s="61">
        <v>0.0</v>
      </c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</row>
    <row r="16" ht="21.75" customHeight="1">
      <c r="A16" s="35" t="s">
        <v>188</v>
      </c>
      <c r="B16" s="36" t="s">
        <v>189</v>
      </c>
      <c r="C16" s="37" t="s">
        <v>86</v>
      </c>
      <c r="D16" s="37" t="s">
        <v>88</v>
      </c>
      <c r="E16" s="38">
        <f>MIN(E17:E27)</f>
        <v>46237</v>
      </c>
      <c r="F16" s="38">
        <f>MAX(F17:F27)</f>
        <v>46248</v>
      </c>
      <c r="G16" s="35">
        <f t="shared" si="1"/>
        <v>10</v>
      </c>
      <c r="H16" s="39">
        <f>IFERROR(SUMPRODUCT($G17:$G27,$H17:$H27)/SUM($G17:$G27),0)</f>
        <v>0</v>
      </c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</row>
    <row r="17" ht="21.75" customHeight="1">
      <c r="A17" s="45" t="s">
        <v>198</v>
      </c>
      <c r="B17" s="46" t="s">
        <v>200</v>
      </c>
      <c r="C17" s="48" t="s">
        <v>201</v>
      </c>
      <c r="D17" s="49" t="s">
        <v>107</v>
      </c>
      <c r="E17" s="50">
        <v>46237.0</v>
      </c>
      <c r="F17" s="50">
        <v>46239.0</v>
      </c>
      <c r="G17" s="45">
        <f t="shared" si="1"/>
        <v>3</v>
      </c>
      <c r="H17" s="51">
        <v>0.0</v>
      </c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</row>
    <row r="18" ht="21.75" customHeight="1">
      <c r="A18" s="45" t="s">
        <v>29</v>
      </c>
      <c r="B18" s="46" t="s">
        <v>215</v>
      </c>
      <c r="C18" s="48" t="s">
        <v>216</v>
      </c>
      <c r="D18" s="49" t="s">
        <v>107</v>
      </c>
      <c r="E18" s="50">
        <v>46240.0</v>
      </c>
      <c r="F18" s="50">
        <v>46244.0</v>
      </c>
      <c r="G18" s="45">
        <f t="shared" si="1"/>
        <v>3</v>
      </c>
      <c r="H18" s="51">
        <v>0.0</v>
      </c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</row>
    <row r="19" ht="21.75" customHeight="1">
      <c r="A19" s="45" t="s">
        <v>45</v>
      </c>
      <c r="B19" s="46" t="s">
        <v>229</v>
      </c>
      <c r="C19" s="48" t="s">
        <v>231</v>
      </c>
      <c r="D19" s="49" t="s">
        <v>107</v>
      </c>
      <c r="E19" s="50">
        <v>46245.0</v>
      </c>
      <c r="F19" s="50">
        <v>46248.0</v>
      </c>
      <c r="G19" s="45">
        <f t="shared" si="1"/>
        <v>4</v>
      </c>
      <c r="H19" s="51">
        <v>0.0</v>
      </c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</row>
    <row r="20" ht="21.75" customHeight="1">
      <c r="A20" s="45" t="s">
        <v>54</v>
      </c>
      <c r="B20" s="46" t="s">
        <v>241</v>
      </c>
      <c r="C20" s="48" t="s">
        <v>243</v>
      </c>
      <c r="D20" s="49" t="s">
        <v>166</v>
      </c>
      <c r="E20" s="50">
        <v>46237.0</v>
      </c>
      <c r="F20" s="50">
        <v>46241.0</v>
      </c>
      <c r="G20" s="45">
        <f t="shared" si="1"/>
        <v>5</v>
      </c>
      <c r="H20" s="51">
        <v>0.0</v>
      </c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</row>
    <row r="21" ht="21.75" customHeight="1">
      <c r="A21" s="45" t="s">
        <v>62</v>
      </c>
      <c r="B21" s="46" t="s">
        <v>256</v>
      </c>
      <c r="C21" s="48" t="s">
        <v>257</v>
      </c>
      <c r="D21" s="49" t="s">
        <v>166</v>
      </c>
      <c r="E21" s="50">
        <v>46244.0</v>
      </c>
      <c r="F21" s="50">
        <v>46246.0</v>
      </c>
      <c r="G21" s="45">
        <f t="shared" si="1"/>
        <v>3</v>
      </c>
      <c r="H21" s="51">
        <v>0.0</v>
      </c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</row>
    <row r="22" ht="21.75" customHeight="1">
      <c r="A22" s="45" t="s">
        <v>267</v>
      </c>
      <c r="B22" s="46" t="s">
        <v>270</v>
      </c>
      <c r="C22" s="48" t="s">
        <v>271</v>
      </c>
      <c r="D22" s="49" t="s">
        <v>166</v>
      </c>
      <c r="E22" s="50">
        <v>46247.0</v>
      </c>
      <c r="F22" s="50">
        <v>46248.0</v>
      </c>
      <c r="G22" s="45">
        <f t="shared" si="1"/>
        <v>2</v>
      </c>
      <c r="H22" s="51">
        <v>0.0</v>
      </c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</row>
    <row r="23" ht="21.75" customHeight="1">
      <c r="A23" s="45" t="s">
        <v>277</v>
      </c>
      <c r="B23" s="46" t="s">
        <v>278</v>
      </c>
      <c r="C23" s="48" t="s">
        <v>279</v>
      </c>
      <c r="D23" s="49" t="s">
        <v>153</v>
      </c>
      <c r="E23" s="50">
        <v>46237.0</v>
      </c>
      <c r="F23" s="50">
        <v>46241.0</v>
      </c>
      <c r="G23" s="45">
        <f t="shared" si="1"/>
        <v>5</v>
      </c>
      <c r="H23" s="51">
        <v>0.0</v>
      </c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</row>
    <row r="24" ht="21.75" customHeight="1">
      <c r="A24" s="45" t="s">
        <v>97</v>
      </c>
      <c r="B24" s="46" t="s">
        <v>280</v>
      </c>
      <c r="C24" s="48" t="s">
        <v>281</v>
      </c>
      <c r="D24" s="49" t="s">
        <v>153</v>
      </c>
      <c r="E24" s="50">
        <v>46244.0</v>
      </c>
      <c r="F24" s="50">
        <v>46248.0</v>
      </c>
      <c r="G24" s="45">
        <f t="shared" si="1"/>
        <v>5</v>
      </c>
      <c r="H24" s="51">
        <v>0.0</v>
      </c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</row>
    <row r="25" ht="21.75" customHeight="1">
      <c r="A25" s="45" t="s">
        <v>282</v>
      </c>
      <c r="B25" s="46" t="s">
        <v>283</v>
      </c>
      <c r="C25" s="48" t="s">
        <v>284</v>
      </c>
      <c r="D25" s="49" t="s">
        <v>133</v>
      </c>
      <c r="E25" s="50">
        <v>46237.0</v>
      </c>
      <c r="F25" s="50">
        <v>46241.0</v>
      </c>
      <c r="G25" s="45">
        <f t="shared" si="1"/>
        <v>5</v>
      </c>
      <c r="H25" s="51">
        <v>0.0</v>
      </c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</row>
    <row r="26" ht="21.75" customHeight="1">
      <c r="A26" s="45" t="s">
        <v>285</v>
      </c>
      <c r="B26" s="46" t="s">
        <v>286</v>
      </c>
      <c r="C26" s="48" t="s">
        <v>287</v>
      </c>
      <c r="D26" s="49" t="s">
        <v>133</v>
      </c>
      <c r="E26" s="50">
        <v>46244.0</v>
      </c>
      <c r="F26" s="50">
        <v>46246.0</v>
      </c>
      <c r="G26" s="45">
        <f t="shared" si="1"/>
        <v>3</v>
      </c>
      <c r="H26" s="51">
        <v>0.0</v>
      </c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</row>
    <row r="27" ht="21.75" customHeight="1">
      <c r="A27" s="45" t="s">
        <v>288</v>
      </c>
      <c r="B27" s="46" t="s">
        <v>289</v>
      </c>
      <c r="C27" s="48" t="s">
        <v>290</v>
      </c>
      <c r="D27" s="49" t="s">
        <v>133</v>
      </c>
      <c r="E27" s="50">
        <v>46247.0</v>
      </c>
      <c r="F27" s="50">
        <v>46248.0</v>
      </c>
      <c r="G27" s="45">
        <f t="shared" si="1"/>
        <v>2</v>
      </c>
      <c r="H27" s="51">
        <v>0.0</v>
      </c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</row>
    <row r="28" ht="21.75" customHeight="1">
      <c r="A28" s="57" t="s">
        <v>34</v>
      </c>
      <c r="B28" s="58" t="s">
        <v>291</v>
      </c>
      <c r="C28" s="59" t="s">
        <v>86</v>
      </c>
      <c r="D28" s="59" t="s">
        <v>88</v>
      </c>
      <c r="E28" s="60">
        <v>46248.0</v>
      </c>
      <c r="F28" s="60">
        <v>46248.0</v>
      </c>
      <c r="G28" s="57">
        <f t="shared" si="1"/>
        <v>1</v>
      </c>
      <c r="H28" s="61">
        <v>0.0</v>
      </c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</row>
    <row r="29" ht="21.75" customHeight="1">
      <c r="A29" s="35" t="s">
        <v>292</v>
      </c>
      <c r="B29" s="36" t="s">
        <v>293</v>
      </c>
      <c r="C29" s="37" t="s">
        <v>86</v>
      </c>
      <c r="D29" s="37" t="s">
        <v>88</v>
      </c>
      <c r="E29" s="38">
        <f>MIN(E30:E41)</f>
        <v>46251</v>
      </c>
      <c r="F29" s="38">
        <f>MAX(F30:F41)</f>
        <v>46262</v>
      </c>
      <c r="G29" s="35">
        <f t="shared" si="1"/>
        <v>10</v>
      </c>
      <c r="H29" s="39">
        <f>IFERROR(SUMPRODUCT($G30:$G41,$H30:$H41)/SUM($G30:$G41),0)</f>
        <v>0</v>
      </c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</row>
    <row r="30" ht="21.75" customHeight="1">
      <c r="A30" s="45" t="s">
        <v>103</v>
      </c>
      <c r="B30" s="46" t="s">
        <v>294</v>
      </c>
      <c r="C30" s="48" t="s">
        <v>295</v>
      </c>
      <c r="D30" s="49" t="s">
        <v>107</v>
      </c>
      <c r="E30" s="50">
        <v>46251.0</v>
      </c>
      <c r="F30" s="50">
        <v>46254.0</v>
      </c>
      <c r="G30" s="45">
        <f t="shared" si="1"/>
        <v>4</v>
      </c>
      <c r="H30" s="51">
        <v>0.0</v>
      </c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</row>
    <row r="31" ht="21.75" customHeight="1">
      <c r="A31" s="45" t="s">
        <v>137</v>
      </c>
      <c r="B31" s="46" t="s">
        <v>296</v>
      </c>
      <c r="C31" s="48" t="s">
        <v>297</v>
      </c>
      <c r="D31" s="49" t="s">
        <v>107</v>
      </c>
      <c r="E31" s="50">
        <v>46255.0</v>
      </c>
      <c r="F31" s="50">
        <v>46260.0</v>
      </c>
      <c r="G31" s="45">
        <f t="shared" si="1"/>
        <v>4</v>
      </c>
      <c r="H31" s="51">
        <v>0.0</v>
      </c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</row>
    <row r="32" ht="21.75" customHeight="1">
      <c r="A32" s="45" t="s">
        <v>142</v>
      </c>
      <c r="B32" s="46" t="s">
        <v>298</v>
      </c>
      <c r="C32" s="48" t="s">
        <v>299</v>
      </c>
      <c r="D32" s="49" t="s">
        <v>107</v>
      </c>
      <c r="E32" s="50">
        <v>46261.0</v>
      </c>
      <c r="F32" s="50">
        <v>46262.0</v>
      </c>
      <c r="G32" s="45">
        <f t="shared" si="1"/>
        <v>2</v>
      </c>
      <c r="H32" s="51">
        <v>0.0</v>
      </c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</row>
    <row r="33" ht="21.75" customHeight="1">
      <c r="A33" s="45" t="s">
        <v>112</v>
      </c>
      <c r="B33" s="46" t="s">
        <v>300</v>
      </c>
      <c r="C33" s="48" t="s">
        <v>301</v>
      </c>
      <c r="D33" s="49" t="s">
        <v>153</v>
      </c>
      <c r="E33" s="50">
        <v>46251.0</v>
      </c>
      <c r="F33" s="50">
        <v>46255.0</v>
      </c>
      <c r="G33" s="45">
        <f t="shared" si="1"/>
        <v>5</v>
      </c>
      <c r="H33" s="51">
        <v>0.0</v>
      </c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</row>
    <row r="34" ht="21.75" customHeight="1">
      <c r="A34" s="45" t="s">
        <v>302</v>
      </c>
      <c r="B34" s="46" t="s">
        <v>303</v>
      </c>
      <c r="C34" s="48" t="s">
        <v>304</v>
      </c>
      <c r="D34" s="49" t="s">
        <v>153</v>
      </c>
      <c r="E34" s="50">
        <v>46258.0</v>
      </c>
      <c r="F34" s="50">
        <v>46260.0</v>
      </c>
      <c r="G34" s="45">
        <f t="shared" si="1"/>
        <v>3</v>
      </c>
      <c r="H34" s="51">
        <v>0.0</v>
      </c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</row>
    <row r="35" ht="21.75" customHeight="1">
      <c r="A35" s="45" t="s">
        <v>130</v>
      </c>
      <c r="B35" s="46" t="s">
        <v>305</v>
      </c>
      <c r="C35" s="48" t="s">
        <v>306</v>
      </c>
      <c r="D35" s="49" t="s">
        <v>153</v>
      </c>
      <c r="E35" s="50">
        <v>46261.0</v>
      </c>
      <c r="F35" s="50">
        <v>46262.0</v>
      </c>
      <c r="G35" s="45">
        <f t="shared" si="1"/>
        <v>2</v>
      </c>
      <c r="H35" s="51">
        <v>0.0</v>
      </c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</row>
    <row r="36" ht="21.75" customHeight="1">
      <c r="A36" s="45" t="s">
        <v>171</v>
      </c>
      <c r="B36" s="46" t="s">
        <v>307</v>
      </c>
      <c r="C36" s="48" t="s">
        <v>308</v>
      </c>
      <c r="D36" s="49" t="s">
        <v>133</v>
      </c>
      <c r="E36" s="50">
        <v>46251.0</v>
      </c>
      <c r="F36" s="50">
        <v>46255.0</v>
      </c>
      <c r="G36" s="45">
        <f t="shared" si="1"/>
        <v>5</v>
      </c>
      <c r="H36" s="51">
        <v>0.0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</row>
    <row r="37" ht="21.75" customHeight="1">
      <c r="A37" s="45" t="s">
        <v>181</v>
      </c>
      <c r="B37" s="46" t="s">
        <v>309</v>
      </c>
      <c r="C37" s="48" t="s">
        <v>310</v>
      </c>
      <c r="D37" s="49" t="s">
        <v>133</v>
      </c>
      <c r="E37" s="50">
        <v>46258.0</v>
      </c>
      <c r="F37" s="50">
        <v>46260.0</v>
      </c>
      <c r="G37" s="45">
        <f t="shared" si="1"/>
        <v>3</v>
      </c>
      <c r="H37" s="51">
        <v>0.0</v>
      </c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</row>
    <row r="38" ht="21.75" customHeight="1">
      <c r="A38" s="45" t="s">
        <v>186</v>
      </c>
      <c r="B38" s="46" t="s">
        <v>311</v>
      </c>
      <c r="C38" s="48" t="s">
        <v>290</v>
      </c>
      <c r="D38" s="49" t="s">
        <v>133</v>
      </c>
      <c r="E38" s="50">
        <v>46261.0</v>
      </c>
      <c r="F38" s="50">
        <v>46262.0</v>
      </c>
      <c r="G38" s="45">
        <f t="shared" si="1"/>
        <v>2</v>
      </c>
      <c r="H38" s="51">
        <v>0.0</v>
      </c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</row>
    <row r="39" ht="21.75" customHeight="1">
      <c r="A39" s="45" t="s">
        <v>74</v>
      </c>
      <c r="B39" s="46" t="s">
        <v>312</v>
      </c>
      <c r="C39" s="48" t="s">
        <v>313</v>
      </c>
      <c r="D39" s="49" t="s">
        <v>166</v>
      </c>
      <c r="E39" s="50">
        <v>46251.0</v>
      </c>
      <c r="F39" s="50">
        <v>46254.0</v>
      </c>
      <c r="G39" s="45">
        <f t="shared" si="1"/>
        <v>4</v>
      </c>
      <c r="H39" s="51">
        <v>0.0</v>
      </c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</row>
    <row r="40" ht="21.75" customHeight="1">
      <c r="A40" s="45" t="s">
        <v>148</v>
      </c>
      <c r="B40" s="46" t="s">
        <v>314</v>
      </c>
      <c r="C40" s="48" t="s">
        <v>315</v>
      </c>
      <c r="D40" s="49" t="s">
        <v>166</v>
      </c>
      <c r="E40" s="50">
        <v>46255.0</v>
      </c>
      <c r="F40" s="50">
        <v>46259.0</v>
      </c>
      <c r="G40" s="45">
        <f t="shared" si="1"/>
        <v>3</v>
      </c>
      <c r="H40" s="51">
        <v>0.0</v>
      </c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</row>
    <row r="41" ht="21.75" customHeight="1">
      <c r="A41" s="45" t="s">
        <v>162</v>
      </c>
      <c r="B41" s="46" t="s">
        <v>316</v>
      </c>
      <c r="C41" s="48" t="s">
        <v>317</v>
      </c>
      <c r="D41" s="49" t="s">
        <v>166</v>
      </c>
      <c r="E41" s="50">
        <v>46260.0</v>
      </c>
      <c r="F41" s="50">
        <v>46262.0</v>
      </c>
      <c r="G41" s="45">
        <f t="shared" si="1"/>
        <v>3</v>
      </c>
      <c r="H41" s="51">
        <v>0.0</v>
      </c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</row>
    <row r="42" ht="21.75" customHeight="1">
      <c r="A42" s="57" t="s">
        <v>77</v>
      </c>
      <c r="B42" s="58" t="s">
        <v>318</v>
      </c>
      <c r="C42" s="59" t="s">
        <v>86</v>
      </c>
      <c r="D42" s="59" t="s">
        <v>88</v>
      </c>
      <c r="E42" s="60">
        <v>46262.0</v>
      </c>
      <c r="F42" s="60">
        <v>46262.0</v>
      </c>
      <c r="G42" s="57">
        <f t="shared" si="1"/>
        <v>1</v>
      </c>
      <c r="H42" s="61">
        <v>0.0</v>
      </c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</row>
    <row r="43" ht="21.75" customHeight="1">
      <c r="A43" s="35" t="s">
        <v>319</v>
      </c>
      <c r="B43" s="36" t="s">
        <v>320</v>
      </c>
      <c r="C43" s="37" t="s">
        <v>86</v>
      </c>
      <c r="D43" s="37" t="s">
        <v>88</v>
      </c>
      <c r="E43" s="38">
        <f>MIN(E44:E55)</f>
        <v>46265</v>
      </c>
      <c r="F43" s="38">
        <f>MAX(F44:F55)</f>
        <v>46276</v>
      </c>
      <c r="G43" s="35">
        <f t="shared" si="1"/>
        <v>10</v>
      </c>
      <c r="H43" s="39">
        <f>IFERROR(SUMPRODUCT($G44:$G55,$H44:$H55)/SUM($G44:$G55),0)</f>
        <v>0</v>
      </c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</row>
    <row r="44" ht="21.75" customHeight="1">
      <c r="A44" s="45" t="s">
        <v>193</v>
      </c>
      <c r="B44" s="46" t="s">
        <v>321</v>
      </c>
      <c r="C44" s="48" t="s">
        <v>322</v>
      </c>
      <c r="D44" s="49" t="s">
        <v>133</v>
      </c>
      <c r="E44" s="50">
        <v>46265.0</v>
      </c>
      <c r="F44" s="50">
        <v>46269.0</v>
      </c>
      <c r="G44" s="45">
        <f t="shared" si="1"/>
        <v>5</v>
      </c>
      <c r="H44" s="51">
        <v>0.0</v>
      </c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</row>
    <row r="45" ht="21.75" customHeight="1">
      <c r="A45" s="45" t="s">
        <v>197</v>
      </c>
      <c r="B45" s="46" t="s">
        <v>323</v>
      </c>
      <c r="C45" s="48" t="s">
        <v>324</v>
      </c>
      <c r="D45" s="49" t="s">
        <v>133</v>
      </c>
      <c r="E45" s="50">
        <v>46272.0</v>
      </c>
      <c r="F45" s="50">
        <v>46273.0</v>
      </c>
      <c r="G45" s="45">
        <f t="shared" si="1"/>
        <v>2</v>
      </c>
      <c r="H45" s="51">
        <v>0.0</v>
      </c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</row>
    <row r="46" ht="21.75" customHeight="1">
      <c r="A46" s="45" t="s">
        <v>214</v>
      </c>
      <c r="B46" s="46" t="s">
        <v>325</v>
      </c>
      <c r="C46" s="48" t="s">
        <v>326</v>
      </c>
      <c r="D46" s="49" t="s">
        <v>133</v>
      </c>
      <c r="E46" s="50">
        <v>46274.0</v>
      </c>
      <c r="F46" s="50">
        <v>46276.0</v>
      </c>
      <c r="G46" s="45">
        <f t="shared" si="1"/>
        <v>3</v>
      </c>
      <c r="H46" s="51">
        <v>0.0</v>
      </c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</row>
    <row r="47" ht="21.75" customHeight="1">
      <c r="A47" s="45" t="s">
        <v>205</v>
      </c>
      <c r="B47" s="46" t="s">
        <v>327</v>
      </c>
      <c r="C47" s="48" t="s">
        <v>328</v>
      </c>
      <c r="D47" s="49" t="s">
        <v>107</v>
      </c>
      <c r="E47" s="50">
        <v>46265.0</v>
      </c>
      <c r="F47" s="50">
        <v>46268.0</v>
      </c>
      <c r="G47" s="45">
        <f t="shared" si="1"/>
        <v>4</v>
      </c>
      <c r="H47" s="51">
        <v>0.0</v>
      </c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</row>
    <row r="48" ht="21.75" customHeight="1">
      <c r="A48" s="45" t="s">
        <v>209</v>
      </c>
      <c r="B48" s="46" t="s">
        <v>329</v>
      </c>
      <c r="C48" s="48" t="s">
        <v>330</v>
      </c>
      <c r="D48" s="49" t="s">
        <v>107</v>
      </c>
      <c r="E48" s="50">
        <v>46269.0</v>
      </c>
      <c r="F48" s="50">
        <v>46273.0</v>
      </c>
      <c r="G48" s="45">
        <f t="shared" si="1"/>
        <v>3</v>
      </c>
      <c r="H48" s="51">
        <v>0.0</v>
      </c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</row>
    <row r="49" ht="21.75" customHeight="1">
      <c r="A49" s="45" t="s">
        <v>331</v>
      </c>
      <c r="B49" s="46" t="s">
        <v>332</v>
      </c>
      <c r="C49" s="48" t="s">
        <v>333</v>
      </c>
      <c r="D49" s="49" t="s">
        <v>107</v>
      </c>
      <c r="E49" s="50">
        <v>46274.0</v>
      </c>
      <c r="F49" s="50">
        <v>46276.0</v>
      </c>
      <c r="G49" s="45">
        <f t="shared" si="1"/>
        <v>3</v>
      </c>
      <c r="H49" s="51">
        <v>0.0</v>
      </c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</row>
    <row r="50" ht="21.75" customHeight="1">
      <c r="A50" s="45" t="s">
        <v>117</v>
      </c>
      <c r="B50" s="46" t="s">
        <v>334</v>
      </c>
      <c r="C50" s="48" t="s">
        <v>284</v>
      </c>
      <c r="D50" s="49" t="s">
        <v>153</v>
      </c>
      <c r="E50" s="50">
        <v>46265.0</v>
      </c>
      <c r="F50" s="50">
        <v>46269.0</v>
      </c>
      <c r="G50" s="45">
        <f t="shared" si="1"/>
        <v>5</v>
      </c>
      <c r="H50" s="51">
        <v>0.0</v>
      </c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</row>
    <row r="51" ht="21.75" customHeight="1">
      <c r="A51" s="45" t="s">
        <v>240</v>
      </c>
      <c r="B51" s="46" t="s">
        <v>335</v>
      </c>
      <c r="C51" s="48" t="s">
        <v>336</v>
      </c>
      <c r="D51" s="49" t="s">
        <v>153</v>
      </c>
      <c r="E51" s="50">
        <v>46272.0</v>
      </c>
      <c r="F51" s="50">
        <v>46274.0</v>
      </c>
      <c r="G51" s="45">
        <f t="shared" si="1"/>
        <v>3</v>
      </c>
      <c r="H51" s="51">
        <v>0.0</v>
      </c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</row>
    <row r="52" ht="21.75" customHeight="1">
      <c r="A52" s="45" t="s">
        <v>337</v>
      </c>
      <c r="B52" s="46" t="s">
        <v>338</v>
      </c>
      <c r="C52" s="48" t="s">
        <v>333</v>
      </c>
      <c r="D52" s="49" t="s">
        <v>153</v>
      </c>
      <c r="E52" s="50">
        <v>46275.0</v>
      </c>
      <c r="F52" s="50">
        <v>46276.0</v>
      </c>
      <c r="G52" s="45">
        <f t="shared" si="1"/>
        <v>2</v>
      </c>
      <c r="H52" s="51">
        <v>0.0</v>
      </c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</row>
    <row r="53" ht="21.75" customHeight="1">
      <c r="A53" s="45" t="s">
        <v>220</v>
      </c>
      <c r="B53" s="46" t="s">
        <v>339</v>
      </c>
      <c r="C53" s="48" t="s">
        <v>340</v>
      </c>
      <c r="D53" s="49" t="s">
        <v>166</v>
      </c>
      <c r="E53" s="50">
        <v>46265.0</v>
      </c>
      <c r="F53" s="50">
        <v>46267.0</v>
      </c>
      <c r="G53" s="45">
        <f t="shared" si="1"/>
        <v>3</v>
      </c>
      <c r="H53" s="51">
        <v>0.0</v>
      </c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</row>
    <row r="54" ht="21.75" customHeight="1">
      <c r="A54" s="45" t="s">
        <v>224</v>
      </c>
      <c r="B54" s="46" t="s">
        <v>341</v>
      </c>
      <c r="C54" s="48" t="s">
        <v>342</v>
      </c>
      <c r="D54" s="49" t="s">
        <v>166</v>
      </c>
      <c r="E54" s="50">
        <v>46268.0</v>
      </c>
      <c r="F54" s="50">
        <v>46272.0</v>
      </c>
      <c r="G54" s="45">
        <f t="shared" si="1"/>
        <v>3</v>
      </c>
      <c r="H54" s="51">
        <v>0.0</v>
      </c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</row>
    <row r="55" ht="21.75" customHeight="1">
      <c r="A55" s="45" t="s">
        <v>91</v>
      </c>
      <c r="B55" s="46" t="s">
        <v>343</v>
      </c>
      <c r="C55" s="48" t="s">
        <v>344</v>
      </c>
      <c r="D55" s="49" t="s">
        <v>166</v>
      </c>
      <c r="E55" s="50">
        <v>46273.0</v>
      </c>
      <c r="F55" s="50">
        <v>46276.0</v>
      </c>
      <c r="G55" s="45">
        <f t="shared" si="1"/>
        <v>4</v>
      </c>
      <c r="H55" s="51">
        <v>0.0</v>
      </c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</row>
    <row r="56" ht="21.75" customHeight="1">
      <c r="A56" s="57" t="s">
        <v>92</v>
      </c>
      <c r="B56" s="58" t="s">
        <v>345</v>
      </c>
      <c r="C56" s="59" t="s">
        <v>86</v>
      </c>
      <c r="D56" s="59" t="s">
        <v>88</v>
      </c>
      <c r="E56" s="60">
        <v>46276.0</v>
      </c>
      <c r="F56" s="60">
        <v>46276.0</v>
      </c>
      <c r="G56" s="57">
        <f t="shared" si="1"/>
        <v>1</v>
      </c>
      <c r="H56" s="61">
        <v>0.0</v>
      </c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</row>
    <row r="57" ht="21.75" customHeight="1">
      <c r="A57" s="35" t="s">
        <v>346</v>
      </c>
      <c r="B57" s="36" t="s">
        <v>347</v>
      </c>
      <c r="C57" s="37" t="s">
        <v>86</v>
      </c>
      <c r="D57" s="37" t="s">
        <v>88</v>
      </c>
      <c r="E57" s="38">
        <f>MIN(E58:E64)</f>
        <v>46279</v>
      </c>
      <c r="F57" s="38">
        <f>MAX(F58:F64)</f>
        <v>46283</v>
      </c>
      <c r="G57" s="35">
        <f t="shared" si="1"/>
        <v>5</v>
      </c>
      <c r="H57" s="39">
        <f>IFERROR(SUMPRODUCT($G58:$G64,$H58:$H64)/SUM($G58:$G64),0)</f>
        <v>0</v>
      </c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</row>
    <row r="58" ht="21.75" customHeight="1">
      <c r="A58" s="45" t="s">
        <v>236</v>
      </c>
      <c r="B58" s="46" t="s">
        <v>348</v>
      </c>
      <c r="C58" s="48" t="s">
        <v>349</v>
      </c>
      <c r="D58" s="49" t="s">
        <v>88</v>
      </c>
      <c r="E58" s="50">
        <v>46279.0</v>
      </c>
      <c r="F58" s="50">
        <v>46280.0</v>
      </c>
      <c r="G58" s="45">
        <f t="shared" si="1"/>
        <v>2</v>
      </c>
      <c r="H58" s="51">
        <v>0.0</v>
      </c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</row>
    <row r="59" ht="21.75" customHeight="1">
      <c r="A59" s="45" t="s">
        <v>157</v>
      </c>
      <c r="B59" s="46" t="s">
        <v>350</v>
      </c>
      <c r="C59" s="48" t="s">
        <v>351</v>
      </c>
      <c r="D59" s="49" t="s">
        <v>166</v>
      </c>
      <c r="E59" s="50">
        <v>46281.0</v>
      </c>
      <c r="F59" s="50">
        <v>46282.0</v>
      </c>
      <c r="G59" s="45">
        <f t="shared" si="1"/>
        <v>2</v>
      </c>
      <c r="H59" s="51">
        <v>0.0</v>
      </c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</row>
    <row r="60" ht="21.75" customHeight="1">
      <c r="A60" s="45" t="s">
        <v>250</v>
      </c>
      <c r="B60" s="46" t="s">
        <v>352</v>
      </c>
      <c r="C60" s="48" t="s">
        <v>336</v>
      </c>
      <c r="D60" s="49" t="s">
        <v>133</v>
      </c>
      <c r="E60" s="50">
        <v>46281.0</v>
      </c>
      <c r="F60" s="50">
        <v>46282.0</v>
      </c>
      <c r="G60" s="45">
        <f t="shared" si="1"/>
        <v>2</v>
      </c>
      <c r="H60" s="51">
        <v>0.0</v>
      </c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</row>
    <row r="61" ht="21.75" customHeight="1">
      <c r="A61" s="45" t="s">
        <v>353</v>
      </c>
      <c r="B61" s="46" t="s">
        <v>354</v>
      </c>
      <c r="C61" s="48" t="s">
        <v>336</v>
      </c>
      <c r="D61" s="49" t="s">
        <v>107</v>
      </c>
      <c r="E61" s="50">
        <v>46281.0</v>
      </c>
      <c r="F61" s="50">
        <v>46282.0</v>
      </c>
      <c r="G61" s="45">
        <f t="shared" si="1"/>
        <v>2</v>
      </c>
      <c r="H61" s="51">
        <v>0.0</v>
      </c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</row>
    <row r="62" ht="21.75" customHeight="1">
      <c r="A62" s="45" t="s">
        <v>355</v>
      </c>
      <c r="B62" s="46" t="s">
        <v>356</v>
      </c>
      <c r="C62" s="48" t="s">
        <v>357</v>
      </c>
      <c r="D62" s="49" t="s">
        <v>153</v>
      </c>
      <c r="E62" s="50">
        <v>46281.0</v>
      </c>
      <c r="F62" s="50">
        <v>46282.0</v>
      </c>
      <c r="G62" s="45">
        <f t="shared" si="1"/>
        <v>2</v>
      </c>
      <c r="H62" s="51">
        <v>0.0</v>
      </c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</row>
    <row r="63" ht="21.75" customHeight="1">
      <c r="A63" s="57" t="s">
        <v>158</v>
      </c>
      <c r="B63" s="58" t="s">
        <v>358</v>
      </c>
      <c r="C63" s="59" t="s">
        <v>86</v>
      </c>
      <c r="D63" s="59" t="s">
        <v>88</v>
      </c>
      <c r="E63" s="60">
        <v>46282.0</v>
      </c>
      <c r="F63" s="60">
        <v>46282.0</v>
      </c>
      <c r="G63" s="57">
        <f t="shared" si="1"/>
        <v>1</v>
      </c>
      <c r="H63" s="61">
        <v>0.0</v>
      </c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</row>
    <row r="64" ht="21.75" customHeight="1">
      <c r="A64" s="45" t="s">
        <v>359</v>
      </c>
      <c r="B64" s="46" t="s">
        <v>360</v>
      </c>
      <c r="C64" s="48" t="s">
        <v>86</v>
      </c>
      <c r="D64" s="49" t="s">
        <v>88</v>
      </c>
      <c r="E64" s="50">
        <v>46283.0</v>
      </c>
      <c r="F64" s="50">
        <v>46283.0</v>
      </c>
      <c r="G64" s="45">
        <f t="shared" si="1"/>
        <v>1</v>
      </c>
      <c r="H64" s="51">
        <v>0.0</v>
      </c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</row>
    <row r="65" ht="21.75" customHeight="1">
      <c r="A65" s="57" t="s">
        <v>361</v>
      </c>
      <c r="B65" s="58" t="s">
        <v>362</v>
      </c>
      <c r="C65" s="59" t="s">
        <v>86</v>
      </c>
      <c r="D65" s="59" t="s">
        <v>88</v>
      </c>
      <c r="E65" s="60">
        <v>46283.0</v>
      </c>
      <c r="F65" s="60">
        <v>46283.0</v>
      </c>
      <c r="G65" s="57">
        <f t="shared" si="1"/>
        <v>1</v>
      </c>
      <c r="H65" s="61">
        <v>0.0</v>
      </c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</row>
    <row r="66" ht="15.75" customHeight="1"/>
    <row r="67" ht="30.0" customHeight="1">
      <c r="A67" s="6" t="s">
        <v>363</v>
      </c>
      <c r="B67" s="70" t="s">
        <v>364</v>
      </c>
    </row>
    <row r="68" ht="30.0" customHeight="1">
      <c r="A68" s="6" t="s">
        <v>365</v>
      </c>
      <c r="B68" s="70" t="s">
        <v>366</v>
      </c>
    </row>
    <row r="69" ht="45.75" customHeight="1">
      <c r="A69" s="6" t="s">
        <v>367</v>
      </c>
      <c r="B69" s="70" t="s">
        <v>368</v>
      </c>
    </row>
    <row r="70" ht="45.75" customHeight="1">
      <c r="A70" s="6" t="s">
        <v>369</v>
      </c>
      <c r="B70" s="70" t="s">
        <v>370</v>
      </c>
    </row>
    <row r="71" ht="45.75" customHeight="1">
      <c r="A71" s="13" t="s">
        <v>371</v>
      </c>
      <c r="B71" s="71" t="s">
        <v>372</v>
      </c>
    </row>
    <row r="72" ht="30.0" customHeight="1">
      <c r="A72" s="6" t="s">
        <v>373</v>
      </c>
      <c r="B72" s="71" t="s">
        <v>374</v>
      </c>
    </row>
    <row r="73" ht="30.0" customHeight="1">
      <c r="A73" s="6" t="s">
        <v>375</v>
      </c>
      <c r="B73" s="71" t="s">
        <v>376</v>
      </c>
    </row>
    <row r="74" ht="15.75" customHeight="1">
      <c r="A74" s="6" t="s">
        <v>377</v>
      </c>
      <c r="B74" s="71" t="s">
        <v>378</v>
      </c>
    </row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0">
    <mergeCell ref="B72:AL72"/>
    <mergeCell ref="B73:AL73"/>
    <mergeCell ref="B74:AL74"/>
    <mergeCell ref="I6:M6"/>
    <mergeCell ref="N6:R6"/>
    <mergeCell ref="B67:AL67"/>
    <mergeCell ref="B68:AL68"/>
    <mergeCell ref="B69:AL69"/>
    <mergeCell ref="B70:AL70"/>
    <mergeCell ref="B71:AL71"/>
    <mergeCell ref="A1:F1"/>
    <mergeCell ref="G1:M1"/>
    <mergeCell ref="N1:AO1"/>
    <mergeCell ref="A2:B2"/>
    <mergeCell ref="C2:F2"/>
    <mergeCell ref="G2:M2"/>
    <mergeCell ref="N2:AE2"/>
    <mergeCell ref="D5:D7"/>
    <mergeCell ref="E5:E7"/>
    <mergeCell ref="F5:F7"/>
    <mergeCell ref="G5:G7"/>
    <mergeCell ref="G3:M3"/>
    <mergeCell ref="I5:M5"/>
    <mergeCell ref="N5:W5"/>
    <mergeCell ref="X5:AG5"/>
    <mergeCell ref="AH5:AQ5"/>
    <mergeCell ref="AR5:AV5"/>
    <mergeCell ref="S6:W6"/>
    <mergeCell ref="X6:AB6"/>
    <mergeCell ref="AC6:AG6"/>
    <mergeCell ref="AH6:AL6"/>
    <mergeCell ref="AM6:AQ6"/>
    <mergeCell ref="AR6:AV6"/>
    <mergeCell ref="A3:B3"/>
    <mergeCell ref="C3:F3"/>
    <mergeCell ref="N3:AE3"/>
    <mergeCell ref="A5:A7"/>
    <mergeCell ref="B5:B7"/>
    <mergeCell ref="C5:C7"/>
    <mergeCell ref="H5:H7"/>
  </mergeCells>
  <conditionalFormatting sqref="I8:AV8">
    <cfRule type="expression" dxfId="0" priority="1">
      <formula>AND(I$4&gt;=$E8,I$4&lt;=$F8)</formula>
    </cfRule>
  </conditionalFormatting>
  <conditionalFormatting sqref="I9:AV9">
    <cfRule type="expression" dxfId="0" priority="2">
      <formula>AND(I$4&gt;=$E9,I$4&lt;=$F9)</formula>
    </cfRule>
  </conditionalFormatting>
  <conditionalFormatting sqref="I10:AV10">
    <cfRule type="expression" dxfId="0" priority="3">
      <formula>AND(I$4&gt;=$E10,I$4&lt;=$F10)</formula>
    </cfRule>
  </conditionalFormatting>
  <conditionalFormatting sqref="I11:AV11">
    <cfRule type="expression" dxfId="0" priority="4">
      <formula>AND(I$4&gt;=$E11,I$4&lt;=$F11)</formula>
    </cfRule>
  </conditionalFormatting>
  <conditionalFormatting sqref="I12:AV12">
    <cfRule type="expression" dxfId="0" priority="5">
      <formula>AND(I$4&gt;=$E12,I$4&lt;=$F12)</formula>
    </cfRule>
  </conditionalFormatting>
  <conditionalFormatting sqref="I13:AV13">
    <cfRule type="expression" dxfId="0" priority="6">
      <formula>AND(I$4&gt;=$E13,I$4&lt;=$F13)</formula>
    </cfRule>
  </conditionalFormatting>
  <conditionalFormatting sqref="I14:AV14">
    <cfRule type="expression" dxfId="0" priority="7">
      <formula>AND(I$4&gt;=$E14,I$4&lt;=$F14)</formula>
    </cfRule>
  </conditionalFormatting>
  <conditionalFormatting sqref="I15:AV15">
    <cfRule type="expression" dxfId="1" priority="8">
      <formula>AND(I$4&gt;=$E15,I$4&lt;=$F15)</formula>
    </cfRule>
  </conditionalFormatting>
  <conditionalFormatting sqref="I16:AV16">
    <cfRule type="expression" dxfId="2" priority="9">
      <formula>AND(I$4&gt;=$E16,I$4&lt;=$F16)</formula>
    </cfRule>
  </conditionalFormatting>
  <conditionalFormatting sqref="I17:AV17">
    <cfRule type="expression" dxfId="2" priority="10">
      <formula>AND(I$4&gt;=$E17,I$4&lt;=$F17)</formula>
    </cfRule>
  </conditionalFormatting>
  <conditionalFormatting sqref="I18:AV18">
    <cfRule type="expression" dxfId="2" priority="11">
      <formula>AND(I$4&gt;=$E18,I$4&lt;=$F18)</formula>
    </cfRule>
  </conditionalFormatting>
  <conditionalFormatting sqref="I19:AV19">
    <cfRule type="expression" dxfId="2" priority="12">
      <formula>AND(I$4&gt;=$E19,I$4&lt;=$F19)</formula>
    </cfRule>
  </conditionalFormatting>
  <conditionalFormatting sqref="I20:AV20">
    <cfRule type="expression" dxfId="2" priority="13">
      <formula>AND(I$4&gt;=$E20,I$4&lt;=$F20)</formula>
    </cfRule>
  </conditionalFormatting>
  <conditionalFormatting sqref="I21:AV21">
    <cfRule type="expression" dxfId="2" priority="14">
      <formula>AND(I$4&gt;=$E21,I$4&lt;=$F21)</formula>
    </cfRule>
  </conditionalFormatting>
  <conditionalFormatting sqref="I22:AV22">
    <cfRule type="expression" dxfId="2" priority="15">
      <formula>AND(I$4&gt;=$E22,I$4&lt;=$F22)</formula>
    </cfRule>
  </conditionalFormatting>
  <conditionalFormatting sqref="I23:AV23">
    <cfRule type="expression" dxfId="2" priority="16">
      <formula>AND(I$4&gt;=$E23,I$4&lt;=$F23)</formula>
    </cfRule>
  </conditionalFormatting>
  <conditionalFormatting sqref="I24:AV24">
    <cfRule type="expression" dxfId="2" priority="17">
      <formula>AND(I$4&gt;=$E24,I$4&lt;=$F24)</formula>
    </cfRule>
  </conditionalFormatting>
  <conditionalFormatting sqref="I25:AV25">
    <cfRule type="expression" dxfId="2" priority="18">
      <formula>AND(I$4&gt;=$E25,I$4&lt;=$F25)</formula>
    </cfRule>
  </conditionalFormatting>
  <conditionalFormatting sqref="I26:AV26">
    <cfRule type="expression" dxfId="2" priority="19">
      <formula>AND(I$4&gt;=$E26,I$4&lt;=$F26)</formula>
    </cfRule>
  </conditionalFormatting>
  <conditionalFormatting sqref="I27:AV27">
    <cfRule type="expression" dxfId="2" priority="20">
      <formula>AND(I$4&gt;=$E27,I$4&lt;=$F27)</formula>
    </cfRule>
  </conditionalFormatting>
  <conditionalFormatting sqref="I28:AV28">
    <cfRule type="expression" dxfId="1" priority="21">
      <formula>AND(I$4&gt;=$E28,I$4&lt;=$F28)</formula>
    </cfRule>
  </conditionalFormatting>
  <conditionalFormatting sqref="I29:AV29">
    <cfRule type="expression" dxfId="3" priority="22">
      <formula>AND(I$4&gt;=$E29,I$4&lt;=$F29)</formula>
    </cfRule>
  </conditionalFormatting>
  <conditionalFormatting sqref="I30:AV30">
    <cfRule type="expression" dxfId="3" priority="23">
      <formula>AND(I$4&gt;=$E30,I$4&lt;=$F30)</formula>
    </cfRule>
  </conditionalFormatting>
  <conditionalFormatting sqref="I31:AV31">
    <cfRule type="expression" dxfId="3" priority="24">
      <formula>AND(I$4&gt;=$E31,I$4&lt;=$F31)</formula>
    </cfRule>
  </conditionalFormatting>
  <conditionalFormatting sqref="I32:AV32">
    <cfRule type="expression" dxfId="3" priority="25">
      <formula>AND(I$4&gt;=$E32,I$4&lt;=$F32)</formula>
    </cfRule>
  </conditionalFormatting>
  <conditionalFormatting sqref="I33:AV33">
    <cfRule type="expression" dxfId="3" priority="26">
      <formula>AND(I$4&gt;=$E33,I$4&lt;=$F33)</formula>
    </cfRule>
  </conditionalFormatting>
  <conditionalFormatting sqref="I34:AV34">
    <cfRule type="expression" dxfId="3" priority="27">
      <formula>AND(I$4&gt;=$E34,I$4&lt;=$F34)</formula>
    </cfRule>
  </conditionalFormatting>
  <conditionalFormatting sqref="I35:AV35">
    <cfRule type="expression" dxfId="3" priority="28">
      <formula>AND(I$4&gt;=$E35,I$4&lt;=$F35)</formula>
    </cfRule>
  </conditionalFormatting>
  <conditionalFormatting sqref="I36:AV36">
    <cfRule type="expression" dxfId="3" priority="29">
      <formula>AND(I$4&gt;=$E36,I$4&lt;=$F36)</formula>
    </cfRule>
  </conditionalFormatting>
  <conditionalFormatting sqref="I37:AV37">
    <cfRule type="expression" dxfId="3" priority="30">
      <formula>AND(I$4&gt;=$E37,I$4&lt;=$F37)</formula>
    </cfRule>
  </conditionalFormatting>
  <conditionalFormatting sqref="I38:AV38">
    <cfRule type="expression" dxfId="3" priority="31">
      <formula>AND(I$4&gt;=$E38,I$4&lt;=$F38)</formula>
    </cfRule>
  </conditionalFormatting>
  <conditionalFormatting sqref="I39:AV39">
    <cfRule type="expression" dxfId="3" priority="32">
      <formula>AND(I$4&gt;=$E39,I$4&lt;=$F39)</formula>
    </cfRule>
  </conditionalFormatting>
  <conditionalFormatting sqref="I40:AV40">
    <cfRule type="expression" dxfId="3" priority="33">
      <formula>AND(I$4&gt;=$E40,I$4&lt;=$F40)</formula>
    </cfRule>
  </conditionalFormatting>
  <conditionalFormatting sqref="I41:AV41">
    <cfRule type="expression" dxfId="3" priority="34">
      <formula>AND(I$4&gt;=$E41,I$4&lt;=$F41)</formula>
    </cfRule>
  </conditionalFormatting>
  <conditionalFormatting sqref="I42:AV42">
    <cfRule type="expression" dxfId="1" priority="35">
      <formula>AND(I$4&gt;=$E42,I$4&lt;=$F42)</formula>
    </cfRule>
  </conditionalFormatting>
  <conditionalFormatting sqref="I43:AV43">
    <cfRule type="expression" dxfId="4" priority="36">
      <formula>AND(I$4&gt;=$E43,I$4&lt;=$F43)</formula>
    </cfRule>
  </conditionalFormatting>
  <conditionalFormatting sqref="I44:AV44">
    <cfRule type="expression" dxfId="4" priority="37">
      <formula>AND(I$4&gt;=$E44,I$4&lt;=$F44)</formula>
    </cfRule>
  </conditionalFormatting>
  <conditionalFormatting sqref="I45:AV45">
    <cfRule type="expression" dxfId="4" priority="38">
      <formula>AND(I$4&gt;=$E45,I$4&lt;=$F45)</formula>
    </cfRule>
  </conditionalFormatting>
  <conditionalFormatting sqref="I46:AV46">
    <cfRule type="expression" dxfId="4" priority="39">
      <formula>AND(I$4&gt;=$E46,I$4&lt;=$F46)</formula>
    </cfRule>
  </conditionalFormatting>
  <conditionalFormatting sqref="I47:AV47">
    <cfRule type="expression" dxfId="4" priority="40">
      <formula>AND(I$4&gt;=$E47,I$4&lt;=$F47)</formula>
    </cfRule>
  </conditionalFormatting>
  <conditionalFormatting sqref="I48:AV48">
    <cfRule type="expression" dxfId="4" priority="41">
      <formula>AND(I$4&gt;=$E48,I$4&lt;=$F48)</formula>
    </cfRule>
  </conditionalFormatting>
  <conditionalFormatting sqref="I49:AV49">
    <cfRule type="expression" dxfId="4" priority="42">
      <formula>AND(I$4&gt;=$E49,I$4&lt;=$F49)</formula>
    </cfRule>
  </conditionalFormatting>
  <conditionalFormatting sqref="I50:AV50">
    <cfRule type="expression" dxfId="4" priority="43">
      <formula>AND(I$4&gt;=$E50,I$4&lt;=$F50)</formula>
    </cfRule>
  </conditionalFormatting>
  <conditionalFormatting sqref="I51:AV51">
    <cfRule type="expression" dxfId="4" priority="44">
      <formula>AND(I$4&gt;=$E51,I$4&lt;=$F51)</formula>
    </cfRule>
  </conditionalFormatting>
  <conditionalFormatting sqref="I52:AV52">
    <cfRule type="expression" dxfId="4" priority="45">
      <formula>AND(I$4&gt;=$E52,I$4&lt;=$F52)</formula>
    </cfRule>
  </conditionalFormatting>
  <conditionalFormatting sqref="I53:AV53">
    <cfRule type="expression" dxfId="4" priority="46">
      <formula>AND(I$4&gt;=$E53,I$4&lt;=$F53)</formula>
    </cfRule>
  </conditionalFormatting>
  <conditionalFormatting sqref="I54:AV54">
    <cfRule type="expression" dxfId="4" priority="47">
      <formula>AND(I$4&gt;=$E54,I$4&lt;=$F54)</formula>
    </cfRule>
  </conditionalFormatting>
  <conditionalFormatting sqref="I55:AV55">
    <cfRule type="expression" dxfId="4" priority="48">
      <formula>AND(I$4&gt;=$E55,I$4&lt;=$F55)</formula>
    </cfRule>
  </conditionalFormatting>
  <conditionalFormatting sqref="I56:AV56">
    <cfRule type="expression" dxfId="1" priority="49">
      <formula>AND(I$4&gt;=$E56,I$4&lt;=$F56)</formula>
    </cfRule>
  </conditionalFormatting>
  <conditionalFormatting sqref="I57:AV57">
    <cfRule type="expression" dxfId="5" priority="50">
      <formula>AND(I$4&gt;=$E57,I$4&lt;=$F57)</formula>
    </cfRule>
  </conditionalFormatting>
  <conditionalFormatting sqref="I58:AV58">
    <cfRule type="expression" dxfId="5" priority="51">
      <formula>AND(I$4&gt;=$E58,I$4&lt;=$F58)</formula>
    </cfRule>
  </conditionalFormatting>
  <conditionalFormatting sqref="I59:AV59">
    <cfRule type="expression" dxfId="5" priority="52">
      <formula>AND(I$4&gt;=$E59,I$4&lt;=$F59)</formula>
    </cfRule>
  </conditionalFormatting>
  <conditionalFormatting sqref="I60:AV60">
    <cfRule type="expression" dxfId="5" priority="53">
      <formula>AND(I$4&gt;=$E60,I$4&lt;=$F60)</formula>
    </cfRule>
  </conditionalFormatting>
  <conditionalFormatting sqref="I61:AV61">
    <cfRule type="expression" dxfId="5" priority="54">
      <formula>AND(I$4&gt;=$E61,I$4&lt;=$F61)</formula>
    </cfRule>
  </conditionalFormatting>
  <conditionalFormatting sqref="I62:AV62">
    <cfRule type="expression" dxfId="5" priority="55">
      <formula>AND(I$4&gt;=$E62,I$4&lt;=$F62)</formula>
    </cfRule>
  </conditionalFormatting>
  <conditionalFormatting sqref="I63:AV63">
    <cfRule type="expression" dxfId="1" priority="56">
      <formula>AND(I$4&gt;=$E63,I$4&lt;=$F63)</formula>
    </cfRule>
  </conditionalFormatting>
  <conditionalFormatting sqref="I64:AV64">
    <cfRule type="expression" dxfId="5" priority="57">
      <formula>AND(I$4&gt;=$E64,I$4&lt;=$F64)</formula>
    </cfRule>
  </conditionalFormatting>
  <conditionalFormatting sqref="I65:AV65">
    <cfRule type="expression" dxfId="1" priority="58">
      <formula>AND(I$4&gt;=$E65,I$4&lt;=$F65)</formula>
    </cfRule>
  </conditionalFormatting>
  <conditionalFormatting sqref="H8:H65">
    <cfRule type="colorScale" priority="59">
      <colorScale>
        <cfvo type="formula" val="0"/>
        <cfvo type="formula" val="1"/>
        <color rgb="FFFFFFFF"/>
        <color rgb="FF63BE7B"/>
      </colorScale>
    </cfRule>
  </conditionalFormatting>
  <printOptions/>
  <pageMargins bottom="1.0" footer="0.0" header="0.0" left="0.75" right="0.75" top="1.0"/>
  <pageSetup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4.43" defaultRowHeight="15.0"/>
  <cols>
    <col customWidth="1" min="1" max="1" width="15.0"/>
    <col customWidth="1" min="2" max="2" width="7.0"/>
    <col customWidth="1" min="3" max="3" width="9.0"/>
    <col customWidth="1" min="4" max="4" width="58.0"/>
    <col customWidth="1" min="5" max="5" width="52.0"/>
    <col customWidth="1" min="6" max="6" width="16.0"/>
    <col customWidth="1" min="7" max="7" width="10.0"/>
    <col customWidth="1" min="8" max="9" width="13.0"/>
    <col customWidth="1" min="10" max="10" width="10.0"/>
    <col customWidth="1" min="11" max="26" width="8.71"/>
  </cols>
  <sheetData>
    <row r="1" ht="25.5" customHeight="1">
      <c r="A1" s="3" t="s">
        <v>2</v>
      </c>
      <c r="F1" s="4" t="s">
        <v>3</v>
      </c>
    </row>
    <row r="2" ht="19.5" customHeight="1">
      <c r="A2" s="4" t="s">
        <v>5</v>
      </c>
    </row>
    <row r="4" ht="21.75" customHeight="1">
      <c r="A4" s="7" t="s">
        <v>6</v>
      </c>
      <c r="B4" s="7" t="s">
        <v>9</v>
      </c>
      <c r="C4" s="7" t="s">
        <v>10</v>
      </c>
      <c r="D4" s="7" t="s">
        <v>11</v>
      </c>
      <c r="E4" s="7" t="s">
        <v>12</v>
      </c>
      <c r="F4" s="7" t="s">
        <v>13</v>
      </c>
      <c r="G4" s="7" t="s">
        <v>14</v>
      </c>
      <c r="H4" s="7" t="s">
        <v>15</v>
      </c>
      <c r="I4" s="7" t="s">
        <v>17</v>
      </c>
      <c r="J4" s="7" t="s">
        <v>18</v>
      </c>
    </row>
    <row r="5" ht="30.0" customHeight="1">
      <c r="A5" s="9" t="s">
        <v>19</v>
      </c>
      <c r="B5" s="10" t="s">
        <v>22</v>
      </c>
      <c r="C5" s="11" t="s">
        <v>23</v>
      </c>
      <c r="D5" s="14" t="s">
        <v>26</v>
      </c>
      <c r="E5" s="16" t="s">
        <v>27</v>
      </c>
      <c r="F5" s="18" t="s">
        <v>28</v>
      </c>
      <c r="G5" s="18" t="s">
        <v>29</v>
      </c>
      <c r="H5" s="21">
        <f t="array" ref="H5">IFERROR(INDEX('갠트 차트 템플릿'!$F$8:$F$65,MATCH($G5,'갠트 차트 템플릿'!$A$8:$A$65,0)),"")</f>
        <v>46244</v>
      </c>
      <c r="I5" s="22" t="s">
        <v>34</v>
      </c>
      <c r="J5" s="23" t="s">
        <v>36</v>
      </c>
    </row>
    <row r="6" ht="30.0" customHeight="1">
      <c r="A6" s="9" t="s">
        <v>39</v>
      </c>
      <c r="B6" s="10" t="s">
        <v>22</v>
      </c>
      <c r="C6" s="11" t="s">
        <v>23</v>
      </c>
      <c r="D6" s="14" t="s">
        <v>42</v>
      </c>
      <c r="E6" s="16" t="s">
        <v>43</v>
      </c>
      <c r="F6" s="18" t="s">
        <v>44</v>
      </c>
      <c r="G6" s="18" t="s">
        <v>45</v>
      </c>
      <c r="H6" s="21">
        <f t="array" ref="H6">IFERROR(INDEX('갠트 차트 템플릿'!$F$8:$F$65,MATCH($G6,'갠트 차트 템플릿'!$A$8:$A$65,0)),"")</f>
        <v>46248</v>
      </c>
      <c r="I6" s="22" t="s">
        <v>34</v>
      </c>
      <c r="J6" s="23" t="s">
        <v>36</v>
      </c>
    </row>
    <row r="7" ht="30.0" customHeight="1">
      <c r="A7" s="9" t="s">
        <v>48</v>
      </c>
      <c r="B7" s="10" t="s">
        <v>22</v>
      </c>
      <c r="C7" s="11" t="s">
        <v>23</v>
      </c>
      <c r="D7" s="14" t="s">
        <v>50</v>
      </c>
      <c r="E7" s="16" t="s">
        <v>52</v>
      </c>
      <c r="F7" s="18" t="s">
        <v>53</v>
      </c>
      <c r="G7" s="18" t="s">
        <v>54</v>
      </c>
      <c r="H7" s="21">
        <f t="array" ref="H7">IFERROR(INDEX('갠트 차트 템플릿'!$F$8:$F$65,MATCH($G7,'갠트 차트 템플릿'!$A$8:$A$65,0)),"")</f>
        <v>46241</v>
      </c>
      <c r="I7" s="22" t="s">
        <v>34</v>
      </c>
      <c r="J7" s="23" t="s">
        <v>36</v>
      </c>
    </row>
    <row r="8" ht="30.0" customHeight="1">
      <c r="A8" s="9" t="s">
        <v>57</v>
      </c>
      <c r="B8" s="10" t="s">
        <v>22</v>
      </c>
      <c r="C8" s="11" t="s">
        <v>23</v>
      </c>
      <c r="D8" s="14" t="s">
        <v>60</v>
      </c>
      <c r="E8" s="16" t="s">
        <v>61</v>
      </c>
      <c r="F8" s="18" t="s">
        <v>62</v>
      </c>
      <c r="G8" s="18" t="s">
        <v>62</v>
      </c>
      <c r="H8" s="21">
        <f t="array" ref="H8">IFERROR(INDEX('갠트 차트 템플릿'!$F$8:$F$65,MATCH($G8,'갠트 차트 템플릿'!$A$8:$A$65,0)),"")</f>
        <v>46246</v>
      </c>
      <c r="I8" s="22" t="s">
        <v>34</v>
      </c>
      <c r="J8" s="23" t="s">
        <v>36</v>
      </c>
    </row>
    <row r="9" ht="30.0" customHeight="1">
      <c r="A9" s="9" t="s">
        <v>66</v>
      </c>
      <c r="B9" s="10" t="s">
        <v>22</v>
      </c>
      <c r="C9" s="11" t="s">
        <v>23</v>
      </c>
      <c r="D9" s="14" t="s">
        <v>68</v>
      </c>
      <c r="E9" s="16" t="s">
        <v>70</v>
      </c>
      <c r="F9" s="18" t="s">
        <v>72</v>
      </c>
      <c r="G9" s="18" t="s">
        <v>74</v>
      </c>
      <c r="H9" s="21">
        <f t="array" ref="H9">IFERROR(INDEX('갠트 차트 템플릿'!$F$8:$F$65,MATCH($G9,'갠트 차트 템플릿'!$A$8:$A$65,0)),"")</f>
        <v>46254</v>
      </c>
      <c r="I9" s="22" t="s">
        <v>77</v>
      </c>
      <c r="J9" s="23" t="s">
        <v>36</v>
      </c>
    </row>
    <row r="10" ht="30.0" customHeight="1">
      <c r="A10" s="9" t="s">
        <v>78</v>
      </c>
      <c r="B10" s="10" t="s">
        <v>22</v>
      </c>
      <c r="C10" s="10" t="s">
        <v>79</v>
      </c>
      <c r="D10" s="14" t="s">
        <v>80</v>
      </c>
      <c r="E10" s="16" t="s">
        <v>81</v>
      </c>
      <c r="F10" s="18" t="s">
        <v>82</v>
      </c>
      <c r="G10" s="18" t="s">
        <v>74</v>
      </c>
      <c r="H10" s="21">
        <f t="array" ref="H10">IFERROR(INDEX('갠트 차트 템플릿'!$F$8:$F$65,MATCH($G10,'갠트 차트 템플릿'!$A$8:$A$65,0)),"")</f>
        <v>46254</v>
      </c>
      <c r="I10" s="22" t="s">
        <v>77</v>
      </c>
      <c r="J10" s="23" t="s">
        <v>36</v>
      </c>
    </row>
    <row r="11" ht="30.0" customHeight="1">
      <c r="A11" s="9" t="s">
        <v>84</v>
      </c>
      <c r="B11" s="10" t="s">
        <v>22</v>
      </c>
      <c r="C11" s="10" t="s">
        <v>79</v>
      </c>
      <c r="D11" s="14" t="s">
        <v>87</v>
      </c>
      <c r="E11" s="16" t="s">
        <v>89</v>
      </c>
      <c r="F11" s="18" t="s">
        <v>90</v>
      </c>
      <c r="G11" s="18" t="s">
        <v>91</v>
      </c>
      <c r="H11" s="21">
        <f t="array" ref="H11">IFERROR(INDEX('갠트 차트 템플릿'!$F$8:$F$65,MATCH($G11,'갠트 차트 템플릿'!$A$8:$A$65,0)),"")</f>
        <v>46276</v>
      </c>
      <c r="I11" s="22" t="s">
        <v>92</v>
      </c>
      <c r="J11" s="23" t="s">
        <v>36</v>
      </c>
    </row>
    <row r="12" ht="30.0" customHeight="1">
      <c r="A12" s="9" t="s">
        <v>93</v>
      </c>
      <c r="B12" s="10" t="s">
        <v>22</v>
      </c>
      <c r="C12" s="10" t="s">
        <v>79</v>
      </c>
      <c r="D12" s="14" t="s">
        <v>94</v>
      </c>
      <c r="E12" s="16" t="s">
        <v>95</v>
      </c>
      <c r="F12" s="18" t="s">
        <v>96</v>
      </c>
      <c r="G12" s="18" t="s">
        <v>97</v>
      </c>
      <c r="H12" s="21">
        <f t="array" ref="H12">IFERROR(INDEX('갠트 차트 템플릿'!$F$8:$F$65,MATCH($G12,'갠트 차트 템플릿'!$A$8:$A$65,0)),"")</f>
        <v>46248</v>
      </c>
      <c r="I12" s="22" t="s">
        <v>34</v>
      </c>
      <c r="J12" s="23" t="s">
        <v>36</v>
      </c>
    </row>
    <row r="13" ht="30.0" customHeight="1">
      <c r="A13" s="41" t="s">
        <v>98</v>
      </c>
      <c r="B13" s="42" t="s">
        <v>99</v>
      </c>
      <c r="C13" s="43" t="s">
        <v>23</v>
      </c>
      <c r="D13" s="14" t="s">
        <v>100</v>
      </c>
      <c r="E13" s="16" t="s">
        <v>101</v>
      </c>
      <c r="F13" s="44" t="s">
        <v>102</v>
      </c>
      <c r="G13" s="44" t="s">
        <v>103</v>
      </c>
      <c r="H13" s="47">
        <f t="array" ref="H13">IFERROR(INDEX('갠트 차트 템플릿'!$F$8:$F$65,MATCH($G13,'갠트 차트 템플릿'!$A$8:$A$65,0)),"")</f>
        <v>46254</v>
      </c>
      <c r="I13" s="22" t="s">
        <v>77</v>
      </c>
      <c r="J13" s="23" t="s">
        <v>36</v>
      </c>
    </row>
    <row r="14" ht="30.0" customHeight="1">
      <c r="A14" s="41" t="s">
        <v>108</v>
      </c>
      <c r="B14" s="42" t="s">
        <v>99</v>
      </c>
      <c r="C14" s="43" t="s">
        <v>23</v>
      </c>
      <c r="D14" s="14" t="s">
        <v>109</v>
      </c>
      <c r="E14" s="16" t="s">
        <v>110</v>
      </c>
      <c r="F14" s="44" t="s">
        <v>111</v>
      </c>
      <c r="G14" s="44" t="s">
        <v>112</v>
      </c>
      <c r="H14" s="47">
        <f t="array" ref="H14">IFERROR(INDEX('갠트 차트 템플릿'!$F$8:$F$65,MATCH($G14,'갠트 차트 템플릿'!$A$8:$A$65,0)),"")</f>
        <v>46255</v>
      </c>
      <c r="I14" s="22" t="s">
        <v>77</v>
      </c>
      <c r="J14" s="23" t="s">
        <v>36</v>
      </c>
    </row>
    <row r="15" ht="30.0" customHeight="1">
      <c r="A15" s="41" t="s">
        <v>113</v>
      </c>
      <c r="B15" s="42" t="s">
        <v>99</v>
      </c>
      <c r="C15" s="43" t="s">
        <v>23</v>
      </c>
      <c r="D15" s="14" t="s">
        <v>114</v>
      </c>
      <c r="E15" s="16" t="s">
        <v>115</v>
      </c>
      <c r="F15" s="44" t="s">
        <v>116</v>
      </c>
      <c r="G15" s="44" t="s">
        <v>117</v>
      </c>
      <c r="H15" s="47">
        <f t="array" ref="H15">IFERROR(INDEX('갠트 차트 템플릿'!$F$8:$F$65,MATCH($G15,'갠트 차트 템플릿'!$A$8:$A$65,0)),"")</f>
        <v>46269</v>
      </c>
      <c r="I15" s="22" t="s">
        <v>92</v>
      </c>
      <c r="J15" s="23" t="s">
        <v>36</v>
      </c>
    </row>
    <row r="16" ht="30.0" customHeight="1">
      <c r="A16" s="41" t="s">
        <v>121</v>
      </c>
      <c r="B16" s="42" t="s">
        <v>99</v>
      </c>
      <c r="C16" s="43" t="s">
        <v>23</v>
      </c>
      <c r="D16" s="14" t="s">
        <v>122</v>
      </c>
      <c r="E16" s="16" t="s">
        <v>123</v>
      </c>
      <c r="F16" s="44" t="s">
        <v>124</v>
      </c>
      <c r="G16" s="44" t="s">
        <v>117</v>
      </c>
      <c r="H16" s="47">
        <f t="array" ref="H16">IFERROR(INDEX('갠트 차트 템플릿'!$F$8:$F$65,MATCH($G16,'갠트 차트 템플릿'!$A$8:$A$65,0)),"")</f>
        <v>46269</v>
      </c>
      <c r="I16" s="22" t="s">
        <v>92</v>
      </c>
      <c r="J16" s="23" t="s">
        <v>36</v>
      </c>
    </row>
    <row r="17" ht="30.0" customHeight="1">
      <c r="A17" s="41" t="s">
        <v>125</v>
      </c>
      <c r="B17" s="42" t="s">
        <v>99</v>
      </c>
      <c r="C17" s="43" t="s">
        <v>23</v>
      </c>
      <c r="D17" s="14" t="s">
        <v>126</v>
      </c>
      <c r="E17" s="16" t="s">
        <v>127</v>
      </c>
      <c r="F17" s="44" t="s">
        <v>129</v>
      </c>
      <c r="G17" s="44" t="s">
        <v>130</v>
      </c>
      <c r="H17" s="47">
        <f t="array" ref="H17">IFERROR(INDEX('갠트 차트 템플릿'!$F$8:$F$65,MATCH($G17,'갠트 차트 템플릿'!$A$8:$A$65,0)),"")</f>
        <v>46262</v>
      </c>
      <c r="I17" s="22" t="s">
        <v>77</v>
      </c>
      <c r="J17" s="23" t="s">
        <v>36</v>
      </c>
    </row>
    <row r="18" ht="30.0" customHeight="1">
      <c r="A18" s="41" t="s">
        <v>134</v>
      </c>
      <c r="B18" s="42" t="s">
        <v>99</v>
      </c>
      <c r="C18" s="43" t="s">
        <v>23</v>
      </c>
      <c r="D18" s="14" t="s">
        <v>135</v>
      </c>
      <c r="E18" s="16" t="s">
        <v>136</v>
      </c>
      <c r="F18" s="44" t="s">
        <v>137</v>
      </c>
      <c r="G18" s="44" t="s">
        <v>137</v>
      </c>
      <c r="H18" s="47">
        <f t="array" ref="H18">IFERROR(INDEX('갠트 차트 템플릿'!$F$8:$F$65,MATCH($G18,'갠트 차트 템플릿'!$A$8:$A$65,0)),"")</f>
        <v>46260</v>
      </c>
      <c r="I18" s="22" t="s">
        <v>77</v>
      </c>
      <c r="J18" s="23" t="s">
        <v>36</v>
      </c>
    </row>
    <row r="19" ht="30.0" customHeight="1">
      <c r="A19" s="41" t="s">
        <v>138</v>
      </c>
      <c r="B19" s="42" t="s">
        <v>99</v>
      </c>
      <c r="C19" s="43" t="s">
        <v>23</v>
      </c>
      <c r="D19" s="14" t="s">
        <v>139</v>
      </c>
      <c r="E19" s="16" t="s">
        <v>140</v>
      </c>
      <c r="F19" s="44" t="s">
        <v>142</v>
      </c>
      <c r="G19" s="44" t="s">
        <v>142</v>
      </c>
      <c r="H19" s="47">
        <f t="array" ref="H19">IFERROR(INDEX('갠트 차트 템플릿'!$F$8:$F$65,MATCH($G19,'갠트 차트 템플릿'!$A$8:$A$65,0)),"")</f>
        <v>46262</v>
      </c>
      <c r="I19" s="22" t="s">
        <v>77</v>
      </c>
      <c r="J19" s="23" t="s">
        <v>36</v>
      </c>
    </row>
    <row r="20" ht="30.0" customHeight="1">
      <c r="A20" s="41" t="s">
        <v>145</v>
      </c>
      <c r="B20" s="42" t="s">
        <v>99</v>
      </c>
      <c r="C20" s="43" t="s">
        <v>23</v>
      </c>
      <c r="D20" s="14" t="s">
        <v>146</v>
      </c>
      <c r="E20" s="16" t="s">
        <v>147</v>
      </c>
      <c r="F20" s="44" t="s">
        <v>148</v>
      </c>
      <c r="G20" s="44" t="s">
        <v>148</v>
      </c>
      <c r="H20" s="47">
        <f t="array" ref="H20">IFERROR(INDEX('갠트 차트 템플릿'!$F$8:$F$65,MATCH($G20,'갠트 차트 템플릿'!$A$8:$A$65,0)),"")</f>
        <v>46259</v>
      </c>
      <c r="I20" s="22" t="s">
        <v>77</v>
      </c>
      <c r="J20" s="23" t="s">
        <v>36</v>
      </c>
    </row>
    <row r="21" ht="30.0" customHeight="1">
      <c r="A21" s="41" t="s">
        <v>150</v>
      </c>
      <c r="B21" s="42" t="s">
        <v>99</v>
      </c>
      <c r="C21" s="42" t="s">
        <v>79</v>
      </c>
      <c r="D21" s="14" t="s">
        <v>154</v>
      </c>
      <c r="E21" s="16" t="s">
        <v>155</v>
      </c>
      <c r="F21" s="44" t="s">
        <v>156</v>
      </c>
      <c r="G21" s="44" t="s">
        <v>157</v>
      </c>
      <c r="H21" s="47">
        <f t="array" ref="H21">IFERROR(INDEX('갠트 차트 템플릿'!$F$8:$F$65,MATCH($G21,'갠트 차트 템플릿'!$A$8:$A$65,0)),"")</f>
        <v>46282</v>
      </c>
      <c r="I21" s="22" t="s">
        <v>158</v>
      </c>
      <c r="J21" s="23" t="s">
        <v>36</v>
      </c>
    </row>
    <row r="22" ht="30.0" customHeight="1">
      <c r="A22" s="41" t="s">
        <v>159</v>
      </c>
      <c r="B22" s="42" t="s">
        <v>99</v>
      </c>
      <c r="C22" s="42" t="s">
        <v>79</v>
      </c>
      <c r="D22" s="14" t="s">
        <v>160</v>
      </c>
      <c r="E22" s="16" t="s">
        <v>161</v>
      </c>
      <c r="F22" s="44" t="s">
        <v>162</v>
      </c>
      <c r="G22" s="44" t="s">
        <v>162</v>
      </c>
      <c r="H22" s="47">
        <f t="array" ref="H22">IFERROR(INDEX('갠트 차트 템플릿'!$F$8:$F$65,MATCH($G22,'갠트 차트 템플릿'!$A$8:$A$65,0)),"")</f>
        <v>46262</v>
      </c>
      <c r="I22" s="22" t="s">
        <v>77</v>
      </c>
      <c r="J22" s="23" t="s">
        <v>36</v>
      </c>
    </row>
    <row r="23" ht="30.0" customHeight="1">
      <c r="A23" s="52" t="s">
        <v>167</v>
      </c>
      <c r="B23" s="53" t="s">
        <v>168</v>
      </c>
      <c r="C23" s="54" t="s">
        <v>23</v>
      </c>
      <c r="D23" s="14" t="s">
        <v>169</v>
      </c>
      <c r="E23" s="16" t="s">
        <v>170</v>
      </c>
      <c r="F23" s="55" t="s">
        <v>171</v>
      </c>
      <c r="G23" s="55" t="s">
        <v>171</v>
      </c>
      <c r="H23" s="56">
        <f t="array" ref="H23">IFERROR(INDEX('갠트 차트 템플릿'!$F$8:$F$65,MATCH($G23,'갠트 차트 템플릿'!$A$8:$A$65,0)),"")</f>
        <v>46255</v>
      </c>
      <c r="I23" s="22" t="s">
        <v>77</v>
      </c>
      <c r="J23" s="23" t="s">
        <v>36</v>
      </c>
    </row>
    <row r="24" ht="30.0" customHeight="1">
      <c r="A24" s="52" t="s">
        <v>172</v>
      </c>
      <c r="B24" s="53" t="s">
        <v>168</v>
      </c>
      <c r="C24" s="54" t="s">
        <v>23</v>
      </c>
      <c r="D24" s="14" t="s">
        <v>173</v>
      </c>
      <c r="E24" s="16" t="s">
        <v>174</v>
      </c>
      <c r="F24" s="55" t="s">
        <v>171</v>
      </c>
      <c r="G24" s="55" t="s">
        <v>171</v>
      </c>
      <c r="H24" s="56">
        <f t="array" ref="H24">IFERROR(INDEX('갠트 차트 템플릿'!$F$8:$F$65,MATCH($G24,'갠트 차트 템플릿'!$A$8:$A$65,0)),"")</f>
        <v>46255</v>
      </c>
      <c r="I24" s="22" t="s">
        <v>77</v>
      </c>
      <c r="J24" s="23" t="s">
        <v>36</v>
      </c>
    </row>
    <row r="25" ht="30.0" customHeight="1">
      <c r="A25" s="52" t="s">
        <v>176</v>
      </c>
      <c r="B25" s="53" t="s">
        <v>168</v>
      </c>
      <c r="C25" s="54" t="s">
        <v>23</v>
      </c>
      <c r="D25" s="14" t="s">
        <v>178</v>
      </c>
      <c r="E25" s="16" t="s">
        <v>179</v>
      </c>
      <c r="F25" s="55" t="s">
        <v>180</v>
      </c>
      <c r="G25" s="55" t="s">
        <v>181</v>
      </c>
      <c r="H25" s="56">
        <f t="array" ref="H25">IFERROR(INDEX('갠트 차트 템플릿'!$F$8:$F$65,MATCH($G25,'갠트 차트 템플릿'!$A$8:$A$65,0)),"")</f>
        <v>46260</v>
      </c>
      <c r="I25" s="22" t="s">
        <v>77</v>
      </c>
      <c r="J25" s="23" t="s">
        <v>36</v>
      </c>
    </row>
    <row r="26" ht="30.0" customHeight="1">
      <c r="A26" s="52" t="s">
        <v>182</v>
      </c>
      <c r="B26" s="53" t="s">
        <v>168</v>
      </c>
      <c r="C26" s="54" t="s">
        <v>23</v>
      </c>
      <c r="D26" s="14" t="s">
        <v>183</v>
      </c>
      <c r="E26" s="16" t="s">
        <v>184</v>
      </c>
      <c r="F26" s="55" t="s">
        <v>185</v>
      </c>
      <c r="G26" s="55" t="s">
        <v>186</v>
      </c>
      <c r="H26" s="56">
        <f t="array" ref="H26">IFERROR(INDEX('갠트 차트 템플릿'!$F$8:$F$65,MATCH($G26,'갠트 차트 템플릿'!$A$8:$A$65,0)),"")</f>
        <v>46262</v>
      </c>
      <c r="I26" s="22" t="s">
        <v>77</v>
      </c>
      <c r="J26" s="23" t="s">
        <v>36</v>
      </c>
    </row>
    <row r="27" ht="30.0" customHeight="1">
      <c r="A27" s="52" t="s">
        <v>187</v>
      </c>
      <c r="B27" s="53" t="s">
        <v>168</v>
      </c>
      <c r="C27" s="54" t="s">
        <v>23</v>
      </c>
      <c r="D27" s="14" t="s">
        <v>190</v>
      </c>
      <c r="E27" s="16" t="s">
        <v>191</v>
      </c>
      <c r="F27" s="55" t="s">
        <v>192</v>
      </c>
      <c r="G27" s="55" t="s">
        <v>193</v>
      </c>
      <c r="H27" s="56">
        <f t="array" ref="H27">IFERROR(INDEX('갠트 차트 템플릿'!$F$8:$F$65,MATCH($G27,'갠트 차트 템플릿'!$A$8:$A$65,0)),"")</f>
        <v>46269</v>
      </c>
      <c r="I27" s="22" t="s">
        <v>92</v>
      </c>
      <c r="J27" s="23" t="s">
        <v>36</v>
      </c>
    </row>
    <row r="28" ht="30.0" customHeight="1">
      <c r="A28" s="52" t="s">
        <v>194</v>
      </c>
      <c r="B28" s="53" t="s">
        <v>168</v>
      </c>
      <c r="C28" s="54" t="s">
        <v>23</v>
      </c>
      <c r="D28" s="14" t="s">
        <v>195</v>
      </c>
      <c r="E28" s="16" t="s">
        <v>196</v>
      </c>
      <c r="F28" s="55" t="s">
        <v>197</v>
      </c>
      <c r="G28" s="55" t="s">
        <v>197</v>
      </c>
      <c r="H28" s="56">
        <f t="array" ref="H28">IFERROR(INDEX('갠트 차트 템플릿'!$F$8:$F$65,MATCH($G28,'갠트 차트 템플릿'!$A$8:$A$65,0)),"")</f>
        <v>46273</v>
      </c>
      <c r="I28" s="22" t="s">
        <v>92</v>
      </c>
      <c r="J28" s="23" t="s">
        <v>36</v>
      </c>
    </row>
    <row r="29" ht="30.0" customHeight="1">
      <c r="A29" s="52" t="s">
        <v>199</v>
      </c>
      <c r="B29" s="53" t="s">
        <v>168</v>
      </c>
      <c r="C29" s="54" t="s">
        <v>23</v>
      </c>
      <c r="D29" s="14" t="s">
        <v>202</v>
      </c>
      <c r="E29" s="16" t="s">
        <v>203</v>
      </c>
      <c r="F29" s="55" t="s">
        <v>204</v>
      </c>
      <c r="G29" s="55" t="s">
        <v>205</v>
      </c>
      <c r="H29" s="56">
        <f t="array" ref="H29">IFERROR(INDEX('갠트 차트 템플릿'!$F$8:$F$65,MATCH($G29,'갠트 차트 템플릿'!$A$8:$A$65,0)),"")</f>
        <v>46268</v>
      </c>
      <c r="I29" s="22" t="s">
        <v>92</v>
      </c>
      <c r="J29" s="23" t="s">
        <v>36</v>
      </c>
    </row>
    <row r="30" ht="30.0" customHeight="1">
      <c r="A30" s="52" t="s">
        <v>206</v>
      </c>
      <c r="B30" s="53" t="s">
        <v>168</v>
      </c>
      <c r="C30" s="54" t="s">
        <v>23</v>
      </c>
      <c r="D30" s="14" t="s">
        <v>207</v>
      </c>
      <c r="E30" s="16" t="s">
        <v>208</v>
      </c>
      <c r="F30" s="55" t="s">
        <v>209</v>
      </c>
      <c r="G30" s="55" t="s">
        <v>209</v>
      </c>
      <c r="H30" s="56">
        <f t="array" ref="H30">IFERROR(INDEX('갠트 차트 템플릿'!$F$8:$F$65,MATCH($G30,'갠트 차트 템플릿'!$A$8:$A$65,0)),"")</f>
        <v>46273</v>
      </c>
      <c r="I30" s="22" t="s">
        <v>92</v>
      </c>
      <c r="J30" s="23" t="s">
        <v>36</v>
      </c>
    </row>
    <row r="31" ht="30.0" customHeight="1">
      <c r="A31" s="52" t="s">
        <v>210</v>
      </c>
      <c r="B31" s="53" t="s">
        <v>168</v>
      </c>
      <c r="C31" s="54" t="s">
        <v>23</v>
      </c>
      <c r="D31" s="14" t="s">
        <v>211</v>
      </c>
      <c r="E31" s="16" t="s">
        <v>212</v>
      </c>
      <c r="F31" s="55" t="s">
        <v>213</v>
      </c>
      <c r="G31" s="55" t="s">
        <v>214</v>
      </c>
      <c r="H31" s="56">
        <f t="array" ref="H31">IFERROR(INDEX('갠트 차트 템플릿'!$F$8:$F$65,MATCH($G31,'갠트 차트 템플릿'!$A$8:$A$65,0)),"")</f>
        <v>46276</v>
      </c>
      <c r="I31" s="22" t="s">
        <v>92</v>
      </c>
      <c r="J31" s="23" t="s">
        <v>36</v>
      </c>
    </row>
    <row r="32" ht="30.0" customHeight="1">
      <c r="A32" s="52" t="s">
        <v>217</v>
      </c>
      <c r="B32" s="53" t="s">
        <v>168</v>
      </c>
      <c r="C32" s="53" t="s">
        <v>79</v>
      </c>
      <c r="D32" s="14" t="s">
        <v>218</v>
      </c>
      <c r="E32" s="16" t="s">
        <v>219</v>
      </c>
      <c r="F32" s="55" t="s">
        <v>220</v>
      </c>
      <c r="G32" s="55" t="s">
        <v>220</v>
      </c>
      <c r="H32" s="56">
        <f t="array" ref="H32">IFERROR(INDEX('갠트 차트 템플릿'!$F$8:$F$65,MATCH($G32,'갠트 차트 템플릿'!$A$8:$A$65,0)),"")</f>
        <v>46267</v>
      </c>
      <c r="I32" s="22" t="s">
        <v>92</v>
      </c>
      <c r="J32" s="23" t="s">
        <v>36</v>
      </c>
    </row>
    <row r="33" ht="30.0" customHeight="1">
      <c r="A33" s="52" t="s">
        <v>221</v>
      </c>
      <c r="B33" s="53" t="s">
        <v>168</v>
      </c>
      <c r="C33" s="53" t="s">
        <v>79</v>
      </c>
      <c r="D33" s="14" t="s">
        <v>222</v>
      </c>
      <c r="E33" s="16" t="s">
        <v>223</v>
      </c>
      <c r="F33" s="55" t="s">
        <v>224</v>
      </c>
      <c r="G33" s="55" t="s">
        <v>224</v>
      </c>
      <c r="H33" s="56">
        <f t="array" ref="H33">IFERROR(INDEX('갠트 차트 템플릿'!$F$8:$F$65,MATCH($G33,'갠트 차트 템플릿'!$A$8:$A$65,0)),"")</f>
        <v>46272</v>
      </c>
      <c r="I33" s="22" t="s">
        <v>92</v>
      </c>
      <c r="J33" s="23" t="s">
        <v>36</v>
      </c>
    </row>
    <row r="34" ht="30.0" customHeight="1">
      <c r="A34" s="52" t="s">
        <v>225</v>
      </c>
      <c r="B34" s="53" t="s">
        <v>168</v>
      </c>
      <c r="C34" s="53" t="s">
        <v>79</v>
      </c>
      <c r="D34" s="14" t="s">
        <v>226</v>
      </c>
      <c r="E34" s="16" t="s">
        <v>227</v>
      </c>
      <c r="F34" s="55" t="s">
        <v>228</v>
      </c>
      <c r="G34" s="55" t="s">
        <v>91</v>
      </c>
      <c r="H34" s="56">
        <f t="array" ref="H34">IFERROR(INDEX('갠트 차트 템플릿'!$F$8:$F$65,MATCH($G34,'갠트 차트 템플릿'!$A$8:$A$65,0)),"")</f>
        <v>46276</v>
      </c>
      <c r="I34" s="22" t="s">
        <v>92</v>
      </c>
      <c r="J34" s="23" t="s">
        <v>36</v>
      </c>
    </row>
    <row r="35" ht="30.0" customHeight="1">
      <c r="A35" s="62" t="s">
        <v>230</v>
      </c>
      <c r="B35" s="63" t="s">
        <v>232</v>
      </c>
      <c r="C35" s="63" t="s">
        <v>233</v>
      </c>
      <c r="D35" s="14" t="s">
        <v>234</v>
      </c>
      <c r="E35" s="16" t="s">
        <v>235</v>
      </c>
      <c r="F35" s="64" t="s">
        <v>236</v>
      </c>
      <c r="G35" s="64" t="s">
        <v>236</v>
      </c>
      <c r="H35" s="65">
        <f t="array" ref="H35">IFERROR(INDEX('갠트 차트 템플릿'!$F$8:$F$65,MATCH($G35,'갠트 차트 템플릿'!$A$8:$A$65,0)),"")</f>
        <v>46280</v>
      </c>
      <c r="I35" s="22" t="s">
        <v>158</v>
      </c>
      <c r="J35" s="23" t="s">
        <v>36</v>
      </c>
    </row>
    <row r="36" ht="30.0" customHeight="1">
      <c r="A36" s="62" t="s">
        <v>237</v>
      </c>
      <c r="B36" s="63" t="s">
        <v>232</v>
      </c>
      <c r="C36" s="63" t="s">
        <v>233</v>
      </c>
      <c r="D36" s="14" t="s">
        <v>238</v>
      </c>
      <c r="E36" s="16" t="s">
        <v>239</v>
      </c>
      <c r="F36" s="64" t="s">
        <v>240</v>
      </c>
      <c r="G36" s="64" t="s">
        <v>240</v>
      </c>
      <c r="H36" s="65">
        <f t="array" ref="H36">IFERROR(INDEX('갠트 차트 템플릿'!$F$8:$F$65,MATCH($G36,'갠트 차트 템플릿'!$A$8:$A$65,0)),"")</f>
        <v>46274</v>
      </c>
      <c r="I36" s="22" t="s">
        <v>92</v>
      </c>
      <c r="J36" s="23" t="s">
        <v>36</v>
      </c>
    </row>
    <row r="37" ht="30.0" customHeight="1">
      <c r="A37" s="62" t="s">
        <v>242</v>
      </c>
      <c r="B37" s="63" t="s">
        <v>232</v>
      </c>
      <c r="C37" s="63" t="s">
        <v>233</v>
      </c>
      <c r="D37" s="14" t="s">
        <v>244</v>
      </c>
      <c r="E37" s="16" t="s">
        <v>245</v>
      </c>
      <c r="F37" s="64" t="s">
        <v>240</v>
      </c>
      <c r="G37" s="64" t="s">
        <v>240</v>
      </c>
      <c r="H37" s="65">
        <f t="array" ref="H37">IFERROR(INDEX('갠트 차트 템플릿'!$F$8:$F$65,MATCH($G37,'갠트 차트 템플릿'!$A$8:$A$65,0)),"")</f>
        <v>46274</v>
      </c>
      <c r="I37" s="22" t="s">
        <v>92</v>
      </c>
      <c r="J37" s="23" t="s">
        <v>36</v>
      </c>
    </row>
    <row r="38" ht="30.0" customHeight="1">
      <c r="A38" s="62" t="s">
        <v>246</v>
      </c>
      <c r="B38" s="63" t="s">
        <v>232</v>
      </c>
      <c r="C38" s="63" t="s">
        <v>233</v>
      </c>
      <c r="D38" s="14" t="s">
        <v>247</v>
      </c>
      <c r="E38" s="16" t="s">
        <v>248</v>
      </c>
      <c r="F38" s="64" t="s">
        <v>249</v>
      </c>
      <c r="G38" s="64" t="s">
        <v>250</v>
      </c>
      <c r="H38" s="65">
        <f t="array" ref="H38">IFERROR(INDEX('갠트 차트 템플릿'!$F$8:$F$65,MATCH($G38,'갠트 차트 템플릿'!$A$8:$A$65,0)),"")</f>
        <v>46282</v>
      </c>
      <c r="I38" s="22" t="s">
        <v>158</v>
      </c>
      <c r="J38" s="23" t="s">
        <v>36</v>
      </c>
    </row>
    <row r="39" ht="30.0" customHeight="1">
      <c r="A39" s="62" t="s">
        <v>251</v>
      </c>
      <c r="B39" s="63" t="s">
        <v>232</v>
      </c>
      <c r="C39" s="63" t="s">
        <v>233</v>
      </c>
      <c r="D39" s="14" t="s">
        <v>252</v>
      </c>
      <c r="E39" s="16" t="s">
        <v>253</v>
      </c>
      <c r="F39" s="64" t="s">
        <v>254</v>
      </c>
      <c r="G39" s="64" t="s">
        <v>250</v>
      </c>
      <c r="H39" s="65">
        <f t="array" ref="H39">IFERROR(INDEX('갠트 차트 템플릿'!$F$8:$F$65,MATCH($G39,'갠트 차트 템플릿'!$A$8:$A$65,0)),"")</f>
        <v>46282</v>
      </c>
      <c r="I39" s="22" t="s">
        <v>158</v>
      </c>
      <c r="J39" s="23" t="s">
        <v>36</v>
      </c>
    </row>
    <row r="40" ht="30.0" customHeight="1">
      <c r="A40" s="62" t="s">
        <v>255</v>
      </c>
      <c r="B40" s="63" t="s">
        <v>232</v>
      </c>
      <c r="C40" s="63" t="s">
        <v>233</v>
      </c>
      <c r="D40" s="14" t="s">
        <v>258</v>
      </c>
      <c r="E40" s="16" t="s">
        <v>259</v>
      </c>
      <c r="F40" s="64" t="s">
        <v>214</v>
      </c>
      <c r="G40" s="64" t="s">
        <v>214</v>
      </c>
      <c r="H40" s="65">
        <f t="array" ref="H40">IFERROR(INDEX('갠트 차트 템플릿'!$F$8:$F$65,MATCH($G40,'갠트 차트 템플릿'!$A$8:$A$65,0)),"")</f>
        <v>46276</v>
      </c>
      <c r="I40" s="22" t="s">
        <v>92</v>
      </c>
      <c r="J40" s="23" t="s">
        <v>36</v>
      </c>
    </row>
    <row r="41" ht="30.0" customHeight="1">
      <c r="A41" s="62" t="s">
        <v>260</v>
      </c>
      <c r="B41" s="63" t="s">
        <v>232</v>
      </c>
      <c r="C41" s="63" t="s">
        <v>233</v>
      </c>
      <c r="D41" s="14" t="s">
        <v>261</v>
      </c>
      <c r="E41" s="16" t="s">
        <v>262</v>
      </c>
      <c r="F41" s="64" t="s">
        <v>90</v>
      </c>
      <c r="G41" s="64" t="s">
        <v>236</v>
      </c>
      <c r="H41" s="65">
        <f t="array" ref="H41">IFERROR(INDEX('갠트 차트 템플릿'!$F$8:$F$65,MATCH($G41,'갠트 차트 템플릿'!$A$8:$A$65,0)),"")</f>
        <v>46280</v>
      </c>
      <c r="I41" s="22" t="s">
        <v>158</v>
      </c>
      <c r="J41" s="23" t="s">
        <v>36</v>
      </c>
    </row>
    <row r="42" ht="30.0" customHeight="1">
      <c r="A42" s="66" t="s">
        <v>263</v>
      </c>
      <c r="B42" s="67" t="s">
        <v>264</v>
      </c>
      <c r="C42" s="67" t="s">
        <v>265</v>
      </c>
      <c r="D42" s="14" t="s">
        <v>266</v>
      </c>
      <c r="E42" s="16" t="s">
        <v>268</v>
      </c>
      <c r="F42" s="68" t="s">
        <v>269</v>
      </c>
      <c r="G42" s="68" t="s">
        <v>157</v>
      </c>
      <c r="H42" s="69">
        <f t="array" ref="H42">IFERROR(INDEX('갠트 차트 템플릿'!$F$8:$F$65,MATCH($G42,'갠트 차트 템플릿'!$A$8:$A$65,0)),"")</f>
        <v>46282</v>
      </c>
      <c r="I42" s="22" t="s">
        <v>158</v>
      </c>
      <c r="J42" s="23" t="s">
        <v>36</v>
      </c>
    </row>
    <row r="43" ht="30.0" customHeight="1">
      <c r="A43" s="66" t="s">
        <v>272</v>
      </c>
      <c r="B43" s="67" t="s">
        <v>264</v>
      </c>
      <c r="C43" s="67" t="s">
        <v>265</v>
      </c>
      <c r="D43" s="14" t="s">
        <v>273</v>
      </c>
      <c r="E43" s="16" t="s">
        <v>274</v>
      </c>
      <c r="F43" s="68" t="s">
        <v>275</v>
      </c>
      <c r="G43" s="68" t="s">
        <v>74</v>
      </c>
      <c r="H43" s="69">
        <f t="array" ref="H43">IFERROR(INDEX('갠트 차트 템플릿'!$F$8:$F$65,MATCH($G43,'갠트 차트 템플릿'!$A$8:$A$65,0)),"")</f>
        <v>46254</v>
      </c>
      <c r="I43" s="22" t="s">
        <v>77</v>
      </c>
      <c r="J43" s="23" t="s">
        <v>36</v>
      </c>
    </row>
    <row r="44" ht="15.75" customHeight="1"/>
    <row r="45" ht="27.75" customHeight="1">
      <c r="A45" s="6" t="s">
        <v>276</v>
      </c>
      <c r="B45" s="70" t="str">
        <f>CONCATENATE("기능 요구사항 ",COUNTIF($B$5:$B$43,"F1")+COUNTIF($B$5:$B$43,"F2")+COUNTIF($B$5:$B$43,"F3"),"건 (F1 ",COUNTIF($B$5:$B$43,"F1"),"·F2 ",COUNTIF($B$5:$B$43,"F2"),"·F3 ",COUNTIF($B$5:$B$43,"F3"),") + 평가·비기능 기준 ",COUNTIF($B$5:$B$43,"평가")+COUNTIF($B$5:$B$43,"비기능"),"건 전부 WBS 작업에 매핑됨. 매핑 누락 ",COUNTBLANK($F$5:$F$43),"건.")</f>
        <v>기능 요구사항 30건 (F1 8·F2 10·F3 12) + 평가·비기능 기준 9건 전부 WBS 작업에 매핑됨. 매핑 누락 0건.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E1"/>
    <mergeCell ref="F1:J1"/>
    <mergeCell ref="A2:J2"/>
    <mergeCell ref="B45:J45"/>
  </mergeCells>
  <printOptions/>
  <pageMargins bottom="1.0" footer="0.0" header="0.0" left="0.75" right="0.75" top="1.0"/>
  <pageSetup fitToHeight="0"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2026-08-21T06:18:13Z</dcterms:created>
  <dc:creator>openpyxl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